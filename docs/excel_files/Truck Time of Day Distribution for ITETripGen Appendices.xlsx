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Trip Generation\Appendices\12th Edition\2. TOD Distributions\"/>
    </mc:Choice>
  </mc:AlternateContent>
  <xr:revisionPtr revIDLastSave="0" documentId="13_ncr:1_{09ACD61B-78C8-4DEB-8398-FB799FCD4A9C}" xr6:coauthVersionLast="47" xr6:coauthVersionMax="47" xr10:uidLastSave="{00000000-0000-0000-0000-000000000000}"/>
  <bookViews>
    <workbookView xWindow="-110" yWindow="-110" windowWidth="25820" windowHeight="15500" xr2:uid="{1EF372A0-8F63-4829-AFAE-FDF1C3E6ADA0}"/>
  </bookViews>
  <sheets>
    <sheet name="Land Uses with Time-of-Day Data" sheetId="4" r:id="rId1"/>
    <sheet name="035 - Truck and Trailer Parking" sheetId="46" r:id="rId2"/>
    <sheet name="110 - General Light Industrial" sheetId="5" r:id="rId3"/>
    <sheet name="140 - Manufacturing" sheetId="6" r:id="rId4"/>
    <sheet name="150 - Warehouse" sheetId="7" r:id="rId5"/>
    <sheet name="151 - Mini-Warehouse" sheetId="8" r:id="rId6"/>
    <sheet name="154 -Hi-Cube Transload Whse REV" sheetId="9" r:id="rId7"/>
    <sheet name="155 -Hi-Cube Fulfilment Whse" sheetId="47" r:id="rId8"/>
    <sheet name="170 - Utility" sheetId="10" r:id="rId9"/>
    <sheet name="180-Specialty Trade Contractor" sheetId="11" r:id="rId10"/>
    <sheet name="254 - Assisted Living" sheetId="12" r:id="rId11"/>
    <sheet name="312 - Limited-Service Hotel" sheetId="13" r:id="rId12"/>
    <sheet name="320 - Motel " sheetId="14" r:id="rId13"/>
    <sheet name="565 - Day Care Center" sheetId="17" r:id="rId14"/>
    <sheet name="610 - Hospital" sheetId="18" r:id="rId15"/>
    <sheet name="620 - Nursing Home" sheetId="19" r:id="rId16"/>
    <sheet name="630 - Walk-In Clinic" sheetId="20" r:id="rId17"/>
    <sheet name="640-Animal Hospital Vet. Clinic" sheetId="21" r:id="rId18"/>
    <sheet name="710 - General Office Building" sheetId="22" r:id="rId19"/>
    <sheet name="712 - Small Office Building" sheetId="23" r:id="rId20"/>
    <sheet name="720 - Medical-Dental Office Bld" sheetId="24" r:id="rId21"/>
    <sheet name="730-Government Office Building" sheetId="25" r:id="rId22"/>
    <sheet name="812 -Bldg Matls &amp; Lumber Store " sheetId="26" r:id="rId23"/>
    <sheet name="814 - Variety Store" sheetId="27" r:id="rId24"/>
    <sheet name="816 - Hardware &amp; Paint Store" sheetId="28" r:id="rId25"/>
    <sheet name="820 - Shopping Center" sheetId="29" r:id="rId26"/>
    <sheet name="840 - Automobile Sales (New)" sheetId="30" r:id="rId27"/>
    <sheet name="841 - Automobile Sales (Used)" sheetId="31" r:id="rId28"/>
    <sheet name="842-Recreational Vehicle Sales" sheetId="32" r:id="rId29"/>
    <sheet name="843 - Automobile Parts Sales" sheetId="33" r:id="rId30"/>
    <sheet name="881 - Pharm-Drugstore w DT " sheetId="35" r:id="rId31"/>
    <sheet name="890 - Furniture-Flooring Store" sheetId="36" r:id="rId32"/>
    <sheet name="912 - Drive-In Bank" sheetId="37" r:id="rId33"/>
    <sheet name="932 - High-Turnover (SD) Rest" sheetId="38" r:id="rId34"/>
    <sheet name="933-Fst Food Rest wo Drv Thru" sheetId="39" r:id="rId35"/>
    <sheet name="934 - Fast Food Rest w Drv Thru" sheetId="40" r:id="rId36"/>
    <sheet name="941-Quick Lubric. Vehicle Shop" sheetId="41" r:id="rId37"/>
    <sheet name="943-Auto. Parts and Service Ctr" sheetId="42" r:id="rId38"/>
    <sheet name="945-Conv Store Gas Station" sheetId="43" r:id="rId39"/>
    <sheet name="955 - Travel Center" sheetId="44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6" l="1"/>
  <c r="C36" i="26"/>
  <c r="B36" i="26"/>
  <c r="D36" i="44"/>
  <c r="C36" i="44"/>
  <c r="B36" i="44"/>
  <c r="D36" i="43"/>
  <c r="C36" i="43"/>
  <c r="B36" i="43"/>
  <c r="D36" i="42"/>
  <c r="C36" i="42"/>
  <c r="B36" i="42"/>
  <c r="D36" i="41"/>
  <c r="C36" i="41"/>
  <c r="B36" i="41"/>
  <c r="D36" i="40"/>
  <c r="C36" i="40"/>
  <c r="B36" i="40"/>
  <c r="D36" i="39"/>
  <c r="C36" i="39"/>
  <c r="B36" i="39"/>
  <c r="D36" i="38"/>
  <c r="C36" i="38"/>
  <c r="B36" i="38"/>
  <c r="D36" i="37"/>
  <c r="C36" i="37"/>
  <c r="B36" i="37"/>
  <c r="D36" i="36"/>
  <c r="C36" i="36"/>
  <c r="B36" i="36"/>
  <c r="D36" i="35"/>
  <c r="C36" i="35"/>
  <c r="B36" i="35"/>
  <c r="D36" i="33"/>
  <c r="C36" i="33"/>
  <c r="B36" i="33"/>
  <c r="D36" i="32"/>
  <c r="C36" i="32"/>
  <c r="B36" i="32"/>
  <c r="D36" i="31"/>
  <c r="C36" i="31"/>
  <c r="B36" i="31"/>
  <c r="D36" i="30"/>
  <c r="C36" i="30"/>
  <c r="B36" i="30"/>
  <c r="D36" i="29"/>
  <c r="C36" i="29"/>
  <c r="B36" i="29"/>
  <c r="D36" i="28"/>
  <c r="C36" i="28"/>
  <c r="B36" i="28"/>
  <c r="D36" i="27"/>
  <c r="C36" i="27"/>
  <c r="B36" i="27"/>
  <c r="D36" i="25"/>
  <c r="C36" i="25"/>
  <c r="B36" i="25"/>
  <c r="D36" i="24"/>
  <c r="C36" i="24"/>
  <c r="B36" i="24"/>
  <c r="D36" i="23"/>
  <c r="C36" i="23"/>
  <c r="B36" i="23"/>
  <c r="D36" i="22"/>
  <c r="C36" i="22"/>
  <c r="B36" i="22"/>
  <c r="D36" i="21"/>
  <c r="C36" i="21"/>
  <c r="B36" i="21"/>
  <c r="D36" i="20"/>
  <c r="C36" i="20"/>
  <c r="B36" i="20"/>
  <c r="D36" i="19"/>
  <c r="C36" i="19"/>
  <c r="B36" i="19"/>
  <c r="D36" i="18"/>
  <c r="C36" i="18"/>
  <c r="B36" i="18"/>
  <c r="D36" i="17"/>
  <c r="C36" i="17"/>
  <c r="B36" i="17"/>
  <c r="D36" i="14"/>
  <c r="C36" i="14"/>
  <c r="B36" i="14"/>
  <c r="D36" i="13"/>
  <c r="C36" i="13"/>
  <c r="B36" i="13"/>
  <c r="D36" i="12"/>
  <c r="C36" i="12"/>
  <c r="B36" i="12"/>
  <c r="D36" i="11"/>
  <c r="C36" i="11"/>
  <c r="B36" i="11"/>
  <c r="D36" i="10"/>
  <c r="C36" i="10"/>
  <c r="B36" i="10"/>
  <c r="D36" i="47"/>
  <c r="C36" i="47"/>
  <c r="B36" i="47"/>
  <c r="D36" i="9"/>
  <c r="C36" i="9"/>
  <c r="B36" i="9"/>
  <c r="D36" i="8"/>
  <c r="C36" i="8"/>
  <c r="B36" i="8"/>
  <c r="D36" i="7"/>
  <c r="C36" i="7"/>
  <c r="B36" i="7"/>
  <c r="D36" i="6"/>
  <c r="C36" i="6"/>
  <c r="B36" i="6"/>
  <c r="D36" i="5"/>
  <c r="C36" i="5"/>
  <c r="B36" i="5"/>
  <c r="D36" i="46"/>
  <c r="C36" i="46"/>
  <c r="B36" i="46"/>
</calcChain>
</file>

<file path=xl/sharedStrings.xml><?xml version="1.0" encoding="utf-8"?>
<sst xmlns="http://schemas.openxmlformats.org/spreadsheetml/2006/main" count="1590" uniqueCount="94">
  <si>
    <t>List of Land Uses with Truck Time-of-Day Data</t>
  </si>
  <si>
    <t>Industrial (Land Uses 100–199)</t>
  </si>
  <si>
    <t xml:space="preserve">CODE </t>
  </si>
  <si>
    <t>LAND USE</t>
  </si>
  <si>
    <t>Residential (Land Uses 200–299)</t>
  </si>
  <si>
    <t>CODE</t>
  </si>
  <si>
    <t>Lodging (Land Uses 300–399)</t>
  </si>
  <si>
    <t>Institutional (Land Uses 500–599)</t>
  </si>
  <si>
    <t>Medical (Land Uses 600–699)</t>
  </si>
  <si>
    <t>Office (Land Uses 700–799)</t>
  </si>
  <si>
    <t>Retail (Land Uses 800–899)</t>
  </si>
  <si>
    <t>Services (Land Uses 900–999)</t>
  </si>
  <si>
    <t>General Light Industrial</t>
  </si>
  <si>
    <t>Manufacturing</t>
  </si>
  <si>
    <t>Mini-Warehouse</t>
  </si>
  <si>
    <t>High-Cube Transload and Short-Term Storage Warehouse</t>
  </si>
  <si>
    <t>Utility</t>
  </si>
  <si>
    <t>Specialty Trade Contractor</t>
  </si>
  <si>
    <t>Assisted Living</t>
  </si>
  <si>
    <t>Motel</t>
  </si>
  <si>
    <t>Day Care Center</t>
  </si>
  <si>
    <t>Hospital</t>
  </si>
  <si>
    <t>Nursing Home</t>
  </si>
  <si>
    <t>Animal Hospital/Veterinary Clinic</t>
  </si>
  <si>
    <t>General Office Building</t>
  </si>
  <si>
    <t>Small Office Building</t>
  </si>
  <si>
    <t>Medical-Dental Office Building</t>
  </si>
  <si>
    <t>Government Office Building</t>
  </si>
  <si>
    <t>Building Materials and Lumber Store</t>
  </si>
  <si>
    <t>Variety Store</t>
  </si>
  <si>
    <t>Hardware/Paint Store</t>
  </si>
  <si>
    <t>Shopping Center (&gt;150k)</t>
  </si>
  <si>
    <t>Automobile Sales (Used)</t>
  </si>
  <si>
    <t>Recreational Vehicle Sales</t>
  </si>
  <si>
    <t>Automobile Parts Sales</t>
  </si>
  <si>
    <t>Pharmacy/Drugstore with Drive-Through Window</t>
  </si>
  <si>
    <t>Drive-in Bank</t>
  </si>
  <si>
    <t>High-Turnover (Sit-Down) Restaurant</t>
  </si>
  <si>
    <t>Fast-Food Restaurant without Drive-Through Window</t>
  </si>
  <si>
    <t>Fast-Food Restaurant with Drive-Through Window</t>
  </si>
  <si>
    <t>Quick Lubrication Vehicle Shop</t>
  </si>
  <si>
    <t>Automobile Parts and Service Center</t>
  </si>
  <si>
    <t>Convenience Store/Gas Station</t>
  </si>
  <si>
    <r>
      <t xml:space="preserve">Source: ITE </t>
    </r>
    <r>
      <rPr>
        <i/>
        <sz val="11"/>
        <color theme="1"/>
        <rFont val="Aptos Narrow"/>
        <family val="2"/>
        <scheme val="minor"/>
      </rPr>
      <t>Trip Generation Manual</t>
    </r>
    <r>
      <rPr>
        <sz val="11"/>
        <color theme="1"/>
        <rFont val="Aptos Narrow"/>
        <family val="2"/>
        <scheme val="minor"/>
      </rPr>
      <t>, 12th Edition</t>
    </r>
  </si>
  <si>
    <t>Hourly Distribution of Entering and Exiting Truck Trips by Land Use</t>
  </si>
  <si>
    <t>Land Use Code</t>
  </si>
  <si>
    <t>Land Use</t>
  </si>
  <si>
    <t>Setting</t>
  </si>
  <si>
    <t>General Urban/Suburban</t>
  </si>
  <si>
    <t>Time Period</t>
  </si>
  <si>
    <t>Weekday</t>
  </si>
  <si>
    <t># Data Sites</t>
  </si>
  <si>
    <t>% of 24-Hour Truck Trips</t>
  </si>
  <si>
    <t>Time</t>
  </si>
  <si>
    <t>Total</t>
  </si>
  <si>
    <t>Entering</t>
  </si>
  <si>
    <t>Exiting</t>
  </si>
  <si>
    <t>12:00 - 1:00 AM</t>
  </si>
  <si>
    <t>1:00 - 2:00 AM</t>
  </si>
  <si>
    <t>2:00 - 3:00 AM</t>
  </si>
  <si>
    <t>3:00 - 4:00 AM</t>
  </si>
  <si>
    <t>4:00 - 5:00 AM</t>
  </si>
  <si>
    <t>5:00 - 6:00 AM</t>
  </si>
  <si>
    <t>6:00 - 7:00 AM</t>
  </si>
  <si>
    <t>7:00 - 8:00 AM</t>
  </si>
  <si>
    <t>8:00 - 9:00 AM</t>
  </si>
  <si>
    <t>9:00 - 10:00 AM</t>
  </si>
  <si>
    <t>10:00 - 11:00 AM</t>
  </si>
  <si>
    <t>11:00 - 12:00 PM</t>
  </si>
  <si>
    <t>12:00 - 1:00 PM</t>
  </si>
  <si>
    <t>1:00 - 2:00 PM</t>
  </si>
  <si>
    <t>2:00 - 3:00 PM</t>
  </si>
  <si>
    <t>3:00 - 4:00 PM</t>
  </si>
  <si>
    <t>4:00 - 5:00 PM</t>
  </si>
  <si>
    <t>5:00 - 6:00 PM</t>
  </si>
  <si>
    <t>6:00 - 7:00 PM</t>
  </si>
  <si>
    <t>7:00 - 8:00 PM</t>
  </si>
  <si>
    <t>8:00 - 9:00 PM</t>
  </si>
  <si>
    <t>9:00 - 10:00 PM</t>
  </si>
  <si>
    <t>10:00 - 11:00 PM</t>
  </si>
  <si>
    <t>11:00 - 12:00 AM</t>
  </si>
  <si>
    <t>Hourly Distribution of Entering and Exiting Vehicle Trips by Land Use</t>
  </si>
  <si>
    <t>Automobile Sales (New)</t>
  </si>
  <si>
    <t>Drive-In Bank</t>
  </si>
  <si>
    <t>Warehouse</t>
  </si>
  <si>
    <t>Truck and Trailer Parking</t>
  </si>
  <si>
    <t>High-Cube Fulfillment Center Warehouse</t>
  </si>
  <si>
    <t>Limited-Service Hotel</t>
  </si>
  <si>
    <t>Walk-In Clinic</t>
  </si>
  <si>
    <t>Travel Center</t>
  </si>
  <si>
    <r>
      <t xml:space="preserve">Source: ITE </t>
    </r>
    <r>
      <rPr>
        <i/>
        <sz val="11"/>
        <color theme="1"/>
        <rFont val="Aptos Narrow"/>
        <family val="2"/>
        <scheme val="minor"/>
      </rPr>
      <t>Trip Generation Manual</t>
    </r>
    <r>
      <rPr>
        <sz val="11"/>
        <color theme="1"/>
        <rFont val="Aptos Narrow"/>
        <family val="2"/>
        <scheme val="minor"/>
      </rPr>
      <t>, 12th Edition</t>
    </r>
  </si>
  <si>
    <t>Port, Freight, and Terminal (Land Uses 000–099)</t>
  </si>
  <si>
    <t>035</t>
  </si>
  <si>
    <t>Furniture/Flooring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</si>
</sst>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7" xfId="0" applyBorder="1"/>
    <xf numFmtId="164" fontId="0" fillId="0" borderId="2" xfId="1" applyNumberFormat="1" applyFont="1" applyFill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164" fontId="0" fillId="0" borderId="18" xfId="1" applyNumberFormat="1" applyFont="1" applyFill="1" applyBorder="1" applyAlignment="1">
      <alignment horizontal="center"/>
    </xf>
    <xf numFmtId="164" fontId="0" fillId="0" borderId="19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F987-1735-46FA-AB39-FE2EBF6CA10D}">
  <dimension ref="A2:G72"/>
  <sheetViews>
    <sheetView tabSelected="1" topLeftCell="A41" zoomScale="130" zoomScaleNormal="130" workbookViewId="0">
      <selection activeCell="U24" sqref="U24"/>
    </sheetView>
  </sheetViews>
  <sheetFormatPr defaultRowHeight="14.5" x14ac:dyDescent="0.35"/>
  <sheetData>
    <row r="2" spans="1:7" ht="15" thickBot="1" x14ac:dyDescent="0.4"/>
    <row r="3" spans="1:7" x14ac:dyDescent="0.35">
      <c r="A3" s="16" t="s">
        <v>0</v>
      </c>
      <c r="B3" s="17"/>
      <c r="C3" s="17"/>
      <c r="D3" s="17"/>
      <c r="E3" s="17"/>
      <c r="F3" s="17"/>
      <c r="G3" s="18"/>
    </row>
    <row r="4" spans="1:7" x14ac:dyDescent="0.35">
      <c r="A4" s="19"/>
      <c r="B4" s="20"/>
      <c r="C4" s="20"/>
      <c r="D4" s="20"/>
      <c r="E4" s="20"/>
      <c r="F4" s="20"/>
      <c r="G4" s="21"/>
    </row>
    <row r="5" spans="1:7" x14ac:dyDescent="0.35">
      <c r="A5" s="22"/>
      <c r="B5" s="23"/>
      <c r="C5" s="23"/>
      <c r="D5" s="23"/>
      <c r="E5" s="23"/>
      <c r="F5" s="23"/>
      <c r="G5" s="24"/>
    </row>
    <row r="6" spans="1:7" ht="15" thickBot="1" x14ac:dyDescent="0.4">
      <c r="A6" s="25" t="s">
        <v>43</v>
      </c>
      <c r="B6" s="26"/>
      <c r="C6" s="26"/>
      <c r="D6" s="26"/>
      <c r="E6" s="26"/>
      <c r="F6" s="26"/>
      <c r="G6" s="27"/>
    </row>
    <row r="8" spans="1:7" x14ac:dyDescent="0.35">
      <c r="A8" s="1" t="s">
        <v>91</v>
      </c>
      <c r="B8" s="1"/>
    </row>
    <row r="9" spans="1:7" x14ac:dyDescent="0.35">
      <c r="A9" s="2" t="s">
        <v>2</v>
      </c>
      <c r="B9" s="1" t="s">
        <v>3</v>
      </c>
    </row>
    <row r="10" spans="1:7" x14ac:dyDescent="0.35">
      <c r="A10" s="15" t="s">
        <v>92</v>
      </c>
      <c r="B10" t="s">
        <v>85</v>
      </c>
    </row>
    <row r="12" spans="1:7" x14ac:dyDescent="0.35">
      <c r="A12" s="1" t="s">
        <v>1</v>
      </c>
      <c r="B12" s="1"/>
    </row>
    <row r="13" spans="1:7" x14ac:dyDescent="0.35">
      <c r="A13" s="2" t="s">
        <v>2</v>
      </c>
      <c r="B13" s="1" t="s">
        <v>3</v>
      </c>
    </row>
    <row r="14" spans="1:7" x14ac:dyDescent="0.35">
      <c r="A14" s="3">
        <v>110</v>
      </c>
      <c r="B14" t="s">
        <v>12</v>
      </c>
    </row>
    <row r="15" spans="1:7" x14ac:dyDescent="0.35">
      <c r="A15" s="3">
        <v>140</v>
      </c>
      <c r="B15" t="s">
        <v>13</v>
      </c>
    </row>
    <row r="16" spans="1:7" x14ac:dyDescent="0.35">
      <c r="A16" s="3">
        <v>150</v>
      </c>
      <c r="B16" t="s">
        <v>84</v>
      </c>
    </row>
    <row r="17" spans="1:2" x14ac:dyDescent="0.35">
      <c r="A17" s="3">
        <v>151</v>
      </c>
      <c r="B17" t="s">
        <v>14</v>
      </c>
    </row>
    <row r="18" spans="1:2" x14ac:dyDescent="0.35">
      <c r="A18" s="3">
        <v>154</v>
      </c>
      <c r="B18" t="s">
        <v>15</v>
      </c>
    </row>
    <row r="19" spans="1:2" x14ac:dyDescent="0.35">
      <c r="A19" s="3">
        <v>155</v>
      </c>
      <c r="B19" t="s">
        <v>86</v>
      </c>
    </row>
    <row r="20" spans="1:2" x14ac:dyDescent="0.35">
      <c r="A20" s="3">
        <v>170</v>
      </c>
      <c r="B20" t="s">
        <v>16</v>
      </c>
    </row>
    <row r="21" spans="1:2" x14ac:dyDescent="0.35">
      <c r="A21" s="3">
        <v>180</v>
      </c>
      <c r="B21" t="s">
        <v>17</v>
      </c>
    </row>
    <row r="23" spans="1:2" x14ac:dyDescent="0.35">
      <c r="A23" s="1" t="s">
        <v>4</v>
      </c>
      <c r="B23" s="1"/>
    </row>
    <row r="24" spans="1:2" x14ac:dyDescent="0.35">
      <c r="A24" s="2" t="s">
        <v>5</v>
      </c>
      <c r="B24" s="1" t="s">
        <v>3</v>
      </c>
    </row>
    <row r="25" spans="1:2" x14ac:dyDescent="0.35">
      <c r="A25" s="3">
        <v>254</v>
      </c>
      <c r="B25" t="s">
        <v>18</v>
      </c>
    </row>
    <row r="27" spans="1:2" x14ac:dyDescent="0.35">
      <c r="A27" s="1" t="s">
        <v>6</v>
      </c>
      <c r="B27" s="1"/>
    </row>
    <row r="28" spans="1:2" x14ac:dyDescent="0.35">
      <c r="A28" s="2" t="s">
        <v>5</v>
      </c>
      <c r="B28" s="1" t="s">
        <v>3</v>
      </c>
    </row>
    <row r="29" spans="1:2" x14ac:dyDescent="0.35">
      <c r="A29" s="3">
        <v>312</v>
      </c>
      <c r="B29" t="s">
        <v>87</v>
      </c>
    </row>
    <row r="30" spans="1:2" x14ac:dyDescent="0.35">
      <c r="A30" s="3">
        <v>320</v>
      </c>
      <c r="B30" t="s">
        <v>19</v>
      </c>
    </row>
    <row r="32" spans="1:2" x14ac:dyDescent="0.35">
      <c r="A32" s="1" t="s">
        <v>7</v>
      </c>
      <c r="B32" s="1"/>
    </row>
    <row r="33" spans="1:2" x14ac:dyDescent="0.35">
      <c r="A33" s="2" t="s">
        <v>5</v>
      </c>
      <c r="B33" s="1" t="s">
        <v>3</v>
      </c>
    </row>
    <row r="34" spans="1:2" x14ac:dyDescent="0.35">
      <c r="A34" s="3">
        <v>565</v>
      </c>
      <c r="B34" t="s">
        <v>20</v>
      </c>
    </row>
    <row r="36" spans="1:2" x14ac:dyDescent="0.35">
      <c r="A36" s="1" t="s">
        <v>8</v>
      </c>
      <c r="B36" s="1"/>
    </row>
    <row r="37" spans="1:2" x14ac:dyDescent="0.35">
      <c r="A37" s="2" t="s">
        <v>5</v>
      </c>
      <c r="B37" s="1" t="s">
        <v>3</v>
      </c>
    </row>
    <row r="38" spans="1:2" x14ac:dyDescent="0.35">
      <c r="A38" s="3">
        <v>610</v>
      </c>
      <c r="B38" t="s">
        <v>21</v>
      </c>
    </row>
    <row r="39" spans="1:2" x14ac:dyDescent="0.35">
      <c r="A39" s="3">
        <v>620</v>
      </c>
      <c r="B39" t="s">
        <v>22</v>
      </c>
    </row>
    <row r="40" spans="1:2" x14ac:dyDescent="0.35">
      <c r="A40" s="3">
        <v>630</v>
      </c>
      <c r="B40" t="s">
        <v>88</v>
      </c>
    </row>
    <row r="41" spans="1:2" x14ac:dyDescent="0.35">
      <c r="A41" s="3">
        <v>640</v>
      </c>
      <c r="B41" t="s">
        <v>23</v>
      </c>
    </row>
    <row r="43" spans="1:2" x14ac:dyDescent="0.35">
      <c r="A43" s="1" t="s">
        <v>9</v>
      </c>
      <c r="B43" s="1"/>
    </row>
    <row r="44" spans="1:2" x14ac:dyDescent="0.35">
      <c r="A44" s="2" t="s">
        <v>5</v>
      </c>
      <c r="B44" s="1" t="s">
        <v>3</v>
      </c>
    </row>
    <row r="45" spans="1:2" x14ac:dyDescent="0.35">
      <c r="A45" s="3">
        <v>710</v>
      </c>
      <c r="B45" t="s">
        <v>24</v>
      </c>
    </row>
    <row r="46" spans="1:2" x14ac:dyDescent="0.35">
      <c r="A46" s="3">
        <v>712</v>
      </c>
      <c r="B46" t="s">
        <v>25</v>
      </c>
    </row>
    <row r="47" spans="1:2" x14ac:dyDescent="0.35">
      <c r="A47" s="3">
        <v>720</v>
      </c>
      <c r="B47" t="s">
        <v>26</v>
      </c>
    </row>
    <row r="48" spans="1:2" x14ac:dyDescent="0.35">
      <c r="A48" s="3">
        <v>730</v>
      </c>
      <c r="B48" t="s">
        <v>27</v>
      </c>
    </row>
    <row r="50" spans="1:2" x14ac:dyDescent="0.35">
      <c r="A50" s="1" t="s">
        <v>10</v>
      </c>
      <c r="B50" s="1"/>
    </row>
    <row r="51" spans="1:2" x14ac:dyDescent="0.35">
      <c r="A51" s="2" t="s">
        <v>5</v>
      </c>
      <c r="B51" s="1" t="s">
        <v>3</v>
      </c>
    </row>
    <row r="52" spans="1:2" x14ac:dyDescent="0.35">
      <c r="A52" s="3">
        <v>812</v>
      </c>
      <c r="B52" t="s">
        <v>28</v>
      </c>
    </row>
    <row r="53" spans="1:2" x14ac:dyDescent="0.35">
      <c r="A53" s="3">
        <v>814</v>
      </c>
      <c r="B53" t="s">
        <v>29</v>
      </c>
    </row>
    <row r="54" spans="1:2" x14ac:dyDescent="0.35">
      <c r="A54" s="3">
        <v>816</v>
      </c>
      <c r="B54" t="s">
        <v>30</v>
      </c>
    </row>
    <row r="55" spans="1:2" x14ac:dyDescent="0.35">
      <c r="A55" s="3">
        <v>820</v>
      </c>
      <c r="B55" t="s">
        <v>31</v>
      </c>
    </row>
    <row r="56" spans="1:2" x14ac:dyDescent="0.35">
      <c r="A56" s="3">
        <v>840</v>
      </c>
      <c r="B56" t="s">
        <v>82</v>
      </c>
    </row>
    <row r="57" spans="1:2" x14ac:dyDescent="0.35">
      <c r="A57" s="3">
        <v>841</v>
      </c>
      <c r="B57" t="s">
        <v>32</v>
      </c>
    </row>
    <row r="58" spans="1:2" x14ac:dyDescent="0.35">
      <c r="A58" s="3">
        <v>842</v>
      </c>
      <c r="B58" t="s">
        <v>33</v>
      </c>
    </row>
    <row r="59" spans="1:2" x14ac:dyDescent="0.35">
      <c r="A59" s="3">
        <v>843</v>
      </c>
      <c r="B59" t="s">
        <v>34</v>
      </c>
    </row>
    <row r="60" spans="1:2" x14ac:dyDescent="0.35">
      <c r="A60" s="3">
        <v>881</v>
      </c>
      <c r="B60" t="s">
        <v>35</v>
      </c>
    </row>
    <row r="61" spans="1:2" x14ac:dyDescent="0.35">
      <c r="A61" s="3">
        <v>890</v>
      </c>
      <c r="B61" t="s">
        <v>93</v>
      </c>
    </row>
    <row r="63" spans="1:2" x14ac:dyDescent="0.35">
      <c r="A63" s="1" t="s">
        <v>11</v>
      </c>
      <c r="B63" s="1"/>
    </row>
    <row r="64" spans="1:2" x14ac:dyDescent="0.35">
      <c r="A64" s="2" t="s">
        <v>5</v>
      </c>
      <c r="B64" s="1" t="s">
        <v>3</v>
      </c>
    </row>
    <row r="65" spans="1:2" x14ac:dyDescent="0.35">
      <c r="A65" s="3">
        <v>912</v>
      </c>
      <c r="B65" t="s">
        <v>36</v>
      </c>
    </row>
    <row r="66" spans="1:2" x14ac:dyDescent="0.35">
      <c r="A66" s="3">
        <v>932</v>
      </c>
      <c r="B66" t="s">
        <v>37</v>
      </c>
    </row>
    <row r="67" spans="1:2" x14ac:dyDescent="0.35">
      <c r="A67" s="3">
        <v>933</v>
      </c>
      <c r="B67" t="s">
        <v>38</v>
      </c>
    </row>
    <row r="68" spans="1:2" x14ac:dyDescent="0.35">
      <c r="A68" s="3">
        <v>934</v>
      </c>
      <c r="B68" t="s">
        <v>39</v>
      </c>
    </row>
    <row r="69" spans="1:2" x14ac:dyDescent="0.35">
      <c r="A69" s="3">
        <v>941</v>
      </c>
      <c r="B69" t="s">
        <v>40</v>
      </c>
    </row>
    <row r="70" spans="1:2" x14ac:dyDescent="0.35">
      <c r="A70" s="3">
        <v>943</v>
      </c>
      <c r="B70" t="s">
        <v>41</v>
      </c>
    </row>
    <row r="71" spans="1:2" x14ac:dyDescent="0.35">
      <c r="A71" s="3">
        <v>945</v>
      </c>
      <c r="B71" t="s">
        <v>42</v>
      </c>
    </row>
    <row r="72" spans="1:2" x14ac:dyDescent="0.35">
      <c r="A72" s="3">
        <v>955</v>
      </c>
      <c r="B72" t="s">
        <v>89</v>
      </c>
    </row>
  </sheetData>
  <mergeCells count="3">
    <mergeCell ref="A3:G4"/>
    <mergeCell ref="A5:G5"/>
    <mergeCell ref="A6:G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A59A-F1E9-4A4B-B54F-FEFF87A791E5}">
  <sheetPr>
    <tabColor theme="8" tint="0.79998168889431442"/>
  </sheetPr>
  <dimension ref="A1:D36"/>
  <sheetViews>
    <sheetView topLeftCell="A12" zoomScaleNormal="100" workbookViewId="0">
      <selection activeCell="E37" sqref="E37"/>
    </sheetView>
  </sheetViews>
  <sheetFormatPr defaultColWidth="9.1796875"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43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35</v>
      </c>
      <c r="C5" s="28"/>
      <c r="D5" s="29"/>
    </row>
    <row r="6" spans="1:4" x14ac:dyDescent="0.35">
      <c r="A6" s="7" t="s">
        <v>46</v>
      </c>
      <c r="B6" s="28" t="s">
        <v>85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8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1.197110423116615E-2</v>
      </c>
      <c r="C12" s="9">
        <v>1.1953833470733716E-2</v>
      </c>
      <c r="D12" s="10">
        <v>1.1988424968995453E-2</v>
      </c>
    </row>
    <row r="13" spans="1:4" x14ac:dyDescent="0.35">
      <c r="A13" s="7" t="s">
        <v>58</v>
      </c>
      <c r="B13" s="9">
        <v>9.9071207430340563E-3</v>
      </c>
      <c r="C13" s="9">
        <v>9.4806265457543261E-3</v>
      </c>
      <c r="D13" s="10">
        <v>1.0334849111202976E-2</v>
      </c>
    </row>
    <row r="14" spans="1:4" x14ac:dyDescent="0.35">
      <c r="A14" s="7" t="s">
        <v>59</v>
      </c>
      <c r="B14" s="9">
        <v>1.5892672858617132E-2</v>
      </c>
      <c r="C14" s="9">
        <v>1.5045342126957956E-2</v>
      </c>
      <c r="D14" s="10">
        <v>1.6742455560148823E-2</v>
      </c>
    </row>
    <row r="15" spans="1:4" x14ac:dyDescent="0.35">
      <c r="A15" s="7" t="s">
        <v>60</v>
      </c>
      <c r="B15" s="9">
        <v>2.2497420020639831E-2</v>
      </c>
      <c r="C15" s="9">
        <v>1.6900247320692497E-2</v>
      </c>
      <c r="D15" s="10">
        <v>2.8110789582472095E-2</v>
      </c>
    </row>
    <row r="16" spans="1:4" x14ac:dyDescent="0.35">
      <c r="A16" s="7" t="s">
        <v>61</v>
      </c>
      <c r="B16" s="9">
        <v>3.5810113519091843E-2</v>
      </c>
      <c r="C16" s="9">
        <v>2.2877164056059354E-2</v>
      </c>
      <c r="D16" s="10">
        <v>4.878048780487805E-2</v>
      </c>
    </row>
    <row r="17" spans="1:4" x14ac:dyDescent="0.35">
      <c r="A17" s="7" t="s">
        <v>62</v>
      </c>
      <c r="B17" s="9">
        <v>4.4375644994840036E-2</v>
      </c>
      <c r="C17" s="9">
        <v>2.9266281945589442E-2</v>
      </c>
      <c r="D17" s="10">
        <v>5.9528730880529152E-2</v>
      </c>
    </row>
    <row r="18" spans="1:4" x14ac:dyDescent="0.35">
      <c r="A18" s="7" t="s">
        <v>63</v>
      </c>
      <c r="B18" s="9">
        <v>5.3869969040247677E-2</v>
      </c>
      <c r="C18" s="9">
        <v>3.0296784830997524E-2</v>
      </c>
      <c r="D18" s="10">
        <v>7.7511368334022335E-2</v>
      </c>
    </row>
    <row r="19" spans="1:4" x14ac:dyDescent="0.35">
      <c r="A19" s="7" t="s">
        <v>64</v>
      </c>
      <c r="B19" s="9">
        <v>4.736842105263158E-2</v>
      </c>
      <c r="C19" s="9">
        <v>3.6273701566364384E-2</v>
      </c>
      <c r="D19" s="10">
        <v>5.8495245969408846E-2</v>
      </c>
    </row>
    <row r="20" spans="1:4" x14ac:dyDescent="0.35">
      <c r="A20" s="7" t="s">
        <v>65</v>
      </c>
      <c r="B20" s="9">
        <v>5.4695562435500521E-2</v>
      </c>
      <c r="C20" s="9">
        <v>4.8021434460016485E-2</v>
      </c>
      <c r="D20" s="10">
        <v>6.1389003720545683E-2</v>
      </c>
    </row>
    <row r="21" spans="1:4" x14ac:dyDescent="0.35">
      <c r="A21" s="7" t="s">
        <v>66</v>
      </c>
      <c r="B21" s="9">
        <v>6.4396284829721359E-2</v>
      </c>
      <c r="C21" s="9">
        <v>6.2448474855729588E-2</v>
      </c>
      <c r="D21" s="10">
        <v>6.6349731293923117E-2</v>
      </c>
    </row>
    <row r="22" spans="1:4" x14ac:dyDescent="0.35">
      <c r="A22" s="7" t="s">
        <v>67</v>
      </c>
      <c r="B22" s="9">
        <v>6.6563467492260067E-2</v>
      </c>
      <c r="C22" s="9">
        <v>6.038746908491343E-2</v>
      </c>
      <c r="D22" s="10">
        <v>7.2757337742868966E-2</v>
      </c>
    </row>
    <row r="23" spans="1:4" x14ac:dyDescent="0.35">
      <c r="A23" s="7" t="s">
        <v>68</v>
      </c>
      <c r="B23" s="9">
        <v>6.0165118679050569E-2</v>
      </c>
      <c r="C23" s="9">
        <v>6.1624072547403118E-2</v>
      </c>
      <c r="D23" s="10">
        <v>5.8701942951632911E-2</v>
      </c>
    </row>
    <row r="24" spans="1:4" x14ac:dyDescent="0.35">
      <c r="A24" s="7" t="s">
        <v>69</v>
      </c>
      <c r="B24" s="9">
        <v>5.9958720330237358E-2</v>
      </c>
      <c r="C24" s="9">
        <v>7.0280296784830984E-2</v>
      </c>
      <c r="D24" s="10">
        <v>4.9607275733774291E-2</v>
      </c>
    </row>
    <row r="25" spans="1:4" x14ac:dyDescent="0.35">
      <c r="A25" s="7" t="s">
        <v>70</v>
      </c>
      <c r="B25" s="9">
        <v>6.3673890608875142E-2</v>
      </c>
      <c r="C25" s="9">
        <v>6.9043693322341296E-2</v>
      </c>
      <c r="D25" s="10">
        <v>5.8288548987184795E-2</v>
      </c>
    </row>
    <row r="26" spans="1:4" x14ac:dyDescent="0.35">
      <c r="A26" s="7" t="s">
        <v>71</v>
      </c>
      <c r="B26" s="9">
        <v>6.4705882352941183E-2</v>
      </c>
      <c r="C26" s="9">
        <v>7.6463314097279453E-2</v>
      </c>
      <c r="D26" s="10">
        <v>5.2914427449359244E-2</v>
      </c>
    </row>
    <row r="27" spans="1:4" x14ac:dyDescent="0.35">
      <c r="A27" s="7" t="s">
        <v>72</v>
      </c>
      <c r="B27" s="9">
        <v>5.5933952528379779E-2</v>
      </c>
      <c r="C27" s="9">
        <v>6.1830173124484744E-2</v>
      </c>
      <c r="D27" s="10">
        <v>5.0020669698222414E-2</v>
      </c>
    </row>
    <row r="28" spans="1:4" x14ac:dyDescent="0.35">
      <c r="A28" s="7" t="s">
        <v>73</v>
      </c>
      <c r="B28" s="9">
        <v>4.6542827657378737E-2</v>
      </c>
      <c r="C28" s="9">
        <v>5.8532563891178883E-2</v>
      </c>
      <c r="D28" s="10">
        <v>3.4518396031417944E-2</v>
      </c>
    </row>
    <row r="29" spans="1:4" x14ac:dyDescent="0.35">
      <c r="A29" s="7" t="s">
        <v>74</v>
      </c>
      <c r="B29" s="9">
        <v>4.6130030959752322E-2</v>
      </c>
      <c r="C29" s="9">
        <v>5.6471558120362732E-2</v>
      </c>
      <c r="D29" s="10">
        <v>3.5758577924762301E-2</v>
      </c>
    </row>
    <row r="30" spans="1:4" x14ac:dyDescent="0.35">
      <c r="A30" s="7" t="s">
        <v>75</v>
      </c>
      <c r="B30" s="9">
        <v>3.6738906088751286E-2</v>
      </c>
      <c r="C30" s="9">
        <v>5.1525144270403951E-2</v>
      </c>
      <c r="D30" s="10">
        <v>2.1909880115750315E-2</v>
      </c>
    </row>
    <row r="31" spans="1:4" x14ac:dyDescent="0.35">
      <c r="A31" s="7" t="s">
        <v>76</v>
      </c>
      <c r="B31" s="9">
        <v>3.219814241486068E-2</v>
      </c>
      <c r="C31" s="9">
        <v>3.6067600989282765E-2</v>
      </c>
      <c r="D31" s="10">
        <v>2.8317486564696161E-2</v>
      </c>
    </row>
    <row r="32" spans="1:4" x14ac:dyDescent="0.35">
      <c r="A32" s="7" t="s">
        <v>77</v>
      </c>
      <c r="B32" s="9">
        <v>3.5190918472652218E-2</v>
      </c>
      <c r="C32" s="9">
        <v>4.0395713107996702E-2</v>
      </c>
      <c r="D32" s="10">
        <v>2.9971062422488631E-2</v>
      </c>
    </row>
    <row r="33" spans="1:4" x14ac:dyDescent="0.35">
      <c r="A33" s="7" t="s">
        <v>78</v>
      </c>
      <c r="B33" s="9">
        <v>3.0546955624355006E-2</v>
      </c>
      <c r="C33" s="9">
        <v>3.4212695795548226E-2</v>
      </c>
      <c r="D33" s="10">
        <v>2.6870607689127742E-2</v>
      </c>
    </row>
    <row r="34" spans="1:4" x14ac:dyDescent="0.35">
      <c r="A34" s="7" t="s">
        <v>79</v>
      </c>
      <c r="B34" s="9">
        <v>2.2084623323013416E-2</v>
      </c>
      <c r="C34" s="9">
        <v>2.205276174773289E-2</v>
      </c>
      <c r="D34" s="10">
        <v>2.211657709797437E-2</v>
      </c>
    </row>
    <row r="35" spans="1:4" ht="15" thickBot="1" x14ac:dyDescent="0.4">
      <c r="A35" s="11" t="s">
        <v>80</v>
      </c>
      <c r="B35" s="12">
        <v>1.8782249742002065E-2</v>
      </c>
      <c r="C35" s="12">
        <v>1.8549051937345424E-2</v>
      </c>
      <c r="D35" s="13">
        <v>1.9016122364613478E-2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3D5A-96E0-4877-A9B8-E19B2C9A294A}">
  <sheetPr>
    <tabColor theme="8" tint="0.79998168889431442"/>
  </sheetPr>
  <dimension ref="A1:D36"/>
  <sheetViews>
    <sheetView topLeftCell="A10" zoomScaleNormal="100" workbookViewId="0">
      <selection activeCell="B22" sqref="B22"/>
    </sheetView>
  </sheetViews>
  <sheetFormatPr defaultColWidth="9.1796875"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110</v>
      </c>
      <c r="C5" s="28"/>
      <c r="D5" s="29"/>
    </row>
    <row r="6" spans="1:4" x14ac:dyDescent="0.35">
      <c r="A6" s="7" t="s">
        <v>46</v>
      </c>
      <c r="B6" s="28" t="s">
        <v>12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7.246376811594203E-3</v>
      </c>
      <c r="C14" s="9">
        <v>0</v>
      </c>
      <c r="D14" s="10">
        <v>1.4492753623188406E-2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2.1739130434782608E-2</v>
      </c>
      <c r="C19" s="9">
        <v>2.8985507246376812E-2</v>
      </c>
      <c r="D19" s="10">
        <v>1.4492753623188406E-2</v>
      </c>
    </row>
    <row r="20" spans="1:4" x14ac:dyDescent="0.35">
      <c r="A20" s="7" t="s">
        <v>65</v>
      </c>
      <c r="B20" s="9">
        <v>4.3478260869565216E-2</v>
      </c>
      <c r="C20" s="9">
        <v>4.3478260869565216E-2</v>
      </c>
      <c r="D20" s="10">
        <v>4.3478260869565216E-2</v>
      </c>
    </row>
    <row r="21" spans="1:4" x14ac:dyDescent="0.35">
      <c r="A21" s="7" t="s">
        <v>66</v>
      </c>
      <c r="B21" s="9">
        <v>0.17391304347826086</v>
      </c>
      <c r="C21" s="9">
        <v>0.18840579710144928</v>
      </c>
      <c r="D21" s="10">
        <v>0.15942028985507245</v>
      </c>
    </row>
    <row r="22" spans="1:4" x14ac:dyDescent="0.35">
      <c r="A22" s="7" t="s">
        <v>67</v>
      </c>
      <c r="B22" s="9">
        <v>0.18115942028985507</v>
      </c>
      <c r="C22" s="9">
        <v>0.15942028985507245</v>
      </c>
      <c r="D22" s="10">
        <v>0.20289855072463769</v>
      </c>
    </row>
    <row r="23" spans="1:4" x14ac:dyDescent="0.35">
      <c r="A23" s="7" t="s">
        <v>68</v>
      </c>
      <c r="B23" s="9">
        <v>7.9710144927536225E-2</v>
      </c>
      <c r="C23" s="9">
        <v>8.6956521739130432E-2</v>
      </c>
      <c r="D23" s="10">
        <v>7.2463768115942032E-2</v>
      </c>
    </row>
    <row r="24" spans="1:4" x14ac:dyDescent="0.35">
      <c r="A24" s="7" t="s">
        <v>69</v>
      </c>
      <c r="B24" s="9">
        <v>0.10869565217391304</v>
      </c>
      <c r="C24" s="9">
        <v>0.11594202898550725</v>
      </c>
      <c r="D24" s="10">
        <v>0.10144927536231885</v>
      </c>
    </row>
    <row r="25" spans="1:4" x14ac:dyDescent="0.35">
      <c r="A25" s="7" t="s">
        <v>70</v>
      </c>
      <c r="B25" s="9">
        <v>0.12318840579710146</v>
      </c>
      <c r="C25" s="9">
        <v>0.11594202898550725</v>
      </c>
      <c r="D25" s="10">
        <v>0.13043478260869565</v>
      </c>
    </row>
    <row r="26" spans="1:4" x14ac:dyDescent="0.35">
      <c r="A26" s="7" t="s">
        <v>71</v>
      </c>
      <c r="B26" s="9">
        <v>0.13043478260869565</v>
      </c>
      <c r="C26" s="9">
        <v>0.13043478260869565</v>
      </c>
      <c r="D26" s="10">
        <v>0.13043478260869565</v>
      </c>
    </row>
    <row r="27" spans="1:4" x14ac:dyDescent="0.35">
      <c r="A27" s="7" t="s">
        <v>72</v>
      </c>
      <c r="B27" s="9">
        <v>7.9710144927536225E-2</v>
      </c>
      <c r="C27" s="9">
        <v>8.6956521739130432E-2</v>
      </c>
      <c r="D27" s="10">
        <v>7.2463768115942032E-2</v>
      </c>
    </row>
    <row r="28" spans="1:4" x14ac:dyDescent="0.35">
      <c r="A28" s="7" t="s">
        <v>73</v>
      </c>
      <c r="B28" s="9">
        <v>2.8985507246376812E-2</v>
      </c>
      <c r="C28" s="9">
        <v>2.8985507246376812E-2</v>
      </c>
      <c r="D28" s="10">
        <v>2.8985507246376812E-2</v>
      </c>
    </row>
    <row r="29" spans="1:4" x14ac:dyDescent="0.35">
      <c r="A29" s="7" t="s">
        <v>74</v>
      </c>
      <c r="B29" s="9">
        <v>2.1739130434782608E-2</v>
      </c>
      <c r="C29" s="9">
        <v>1.4492753623188406E-2</v>
      </c>
      <c r="D29" s="10">
        <v>2.8985507246376812E-2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1.0000000000000002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B3B9-5E74-407B-B5CD-BDF0CA56B701}">
  <sheetPr>
    <tabColor theme="8" tint="0.79998168889431442"/>
  </sheetPr>
  <dimension ref="A1:D36"/>
  <sheetViews>
    <sheetView topLeftCell="A26" zoomScaleNormal="100" workbookViewId="0">
      <selection activeCell="F36" sqref="F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42">
        <v>140</v>
      </c>
      <c r="C5" s="40"/>
      <c r="D5" s="41"/>
    </row>
    <row r="6" spans="1:4" x14ac:dyDescent="0.35">
      <c r="A6" s="7" t="s">
        <v>46</v>
      </c>
      <c r="B6" s="42" t="s">
        <v>13</v>
      </c>
      <c r="C6" s="40"/>
      <c r="D6" s="41"/>
    </row>
    <row r="7" spans="1:4" x14ac:dyDescent="0.35">
      <c r="A7" s="7" t="s">
        <v>47</v>
      </c>
      <c r="B7" s="42" t="s">
        <v>48</v>
      </c>
      <c r="C7" s="40"/>
      <c r="D7" s="41"/>
    </row>
    <row r="8" spans="1:4" x14ac:dyDescent="0.35">
      <c r="A8" s="7" t="s">
        <v>49</v>
      </c>
      <c r="B8" s="42" t="s">
        <v>50</v>
      </c>
      <c r="C8" s="40"/>
      <c r="D8" s="41"/>
    </row>
    <row r="9" spans="1:4" x14ac:dyDescent="0.35">
      <c r="A9" s="7" t="s">
        <v>51</v>
      </c>
      <c r="B9" s="28">
        <v>21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8.0227743271221522E-3</v>
      </c>
      <c r="C12" s="9">
        <v>8.2431736218444105E-3</v>
      </c>
      <c r="D12" s="10">
        <v>7.8003120124804995E-3</v>
      </c>
    </row>
    <row r="13" spans="1:4" x14ac:dyDescent="0.35">
      <c r="A13" s="7" t="s">
        <v>58</v>
      </c>
      <c r="B13" s="9">
        <v>1.3716356107660456E-2</v>
      </c>
      <c r="C13" s="9">
        <v>1.3395157135497169E-2</v>
      </c>
      <c r="D13" s="10">
        <v>1.4040561622464899E-2</v>
      </c>
    </row>
    <row r="14" spans="1:4" x14ac:dyDescent="0.35">
      <c r="A14" s="7" t="s">
        <v>59</v>
      </c>
      <c r="B14" s="9">
        <v>1.1904761904761904E-2</v>
      </c>
      <c r="C14" s="9">
        <v>9.7887686759402358E-3</v>
      </c>
      <c r="D14" s="10">
        <v>1.4040561622464899E-2</v>
      </c>
    </row>
    <row r="15" spans="1:4" x14ac:dyDescent="0.35">
      <c r="A15" s="7" t="s">
        <v>60</v>
      </c>
      <c r="B15" s="9">
        <v>1.7598343685300204E-2</v>
      </c>
      <c r="C15" s="9">
        <v>1.4940752189592992E-2</v>
      </c>
      <c r="D15" s="10">
        <v>2.0280811232449299E-2</v>
      </c>
    </row>
    <row r="16" spans="1:4" x14ac:dyDescent="0.35">
      <c r="A16" s="7" t="s">
        <v>61</v>
      </c>
      <c r="B16" s="9">
        <v>1.7598343685300208E-2</v>
      </c>
      <c r="C16" s="9">
        <v>1.8547140649149921E-2</v>
      </c>
      <c r="D16" s="10">
        <v>1.6640665626625063E-2</v>
      </c>
    </row>
    <row r="17" spans="1:4" x14ac:dyDescent="0.35">
      <c r="A17" s="7" t="s">
        <v>62</v>
      </c>
      <c r="B17" s="9">
        <v>8.0227743271221539E-3</v>
      </c>
      <c r="C17" s="9">
        <v>5.1519835136527555E-3</v>
      </c>
      <c r="D17" s="10">
        <v>1.0920436817472701E-2</v>
      </c>
    </row>
    <row r="18" spans="1:4" x14ac:dyDescent="0.35">
      <c r="A18" s="7" t="s">
        <v>63</v>
      </c>
      <c r="B18" s="9">
        <v>4.0890269151138713E-2</v>
      </c>
      <c r="C18" s="9">
        <v>4.585265327150953E-2</v>
      </c>
      <c r="D18" s="10">
        <v>3.5881435257410298E-2</v>
      </c>
    </row>
    <row r="19" spans="1:4" x14ac:dyDescent="0.35">
      <c r="A19" s="7" t="s">
        <v>64</v>
      </c>
      <c r="B19" s="9">
        <v>5.0207039337474113E-2</v>
      </c>
      <c r="C19" s="9">
        <v>5.7187017001545597E-2</v>
      </c>
      <c r="D19" s="10">
        <v>4.3161726469058762E-2</v>
      </c>
    </row>
    <row r="20" spans="1:4" x14ac:dyDescent="0.35">
      <c r="A20" s="7" t="s">
        <v>65</v>
      </c>
      <c r="B20" s="9">
        <v>6.5734989648033121E-2</v>
      </c>
      <c r="C20" s="9">
        <v>6.8521380731581649E-2</v>
      </c>
      <c r="D20" s="10">
        <v>6.2922516900676032E-2</v>
      </c>
    </row>
    <row r="21" spans="1:4" x14ac:dyDescent="0.35">
      <c r="A21" s="7" t="s">
        <v>66</v>
      </c>
      <c r="B21" s="9">
        <v>9.3167701863354033E-2</v>
      </c>
      <c r="C21" s="9">
        <v>9.1705306543019061E-2</v>
      </c>
      <c r="D21" s="10">
        <v>9.4643785751430051E-2</v>
      </c>
    </row>
    <row r="22" spans="1:4" x14ac:dyDescent="0.35">
      <c r="A22" s="7" t="s">
        <v>67</v>
      </c>
      <c r="B22" s="9">
        <v>9.627329192546584E-2</v>
      </c>
      <c r="C22" s="9">
        <v>0.10097887686759402</v>
      </c>
      <c r="D22" s="10">
        <v>9.1523660946437865E-2</v>
      </c>
    </row>
    <row r="23" spans="1:4" x14ac:dyDescent="0.35">
      <c r="A23" s="7" t="s">
        <v>68</v>
      </c>
      <c r="B23" s="9">
        <v>8.4627329192546577E-2</v>
      </c>
      <c r="C23" s="9">
        <v>8.9129314786192695E-2</v>
      </c>
      <c r="D23" s="10">
        <v>8.0083203328133123E-2</v>
      </c>
    </row>
    <row r="24" spans="1:4" x14ac:dyDescent="0.35">
      <c r="A24" s="7" t="s">
        <v>69</v>
      </c>
      <c r="B24" s="9">
        <v>7.1169772256728783E-2</v>
      </c>
      <c r="C24" s="9">
        <v>6.3369397217928905E-2</v>
      </c>
      <c r="D24" s="10">
        <v>7.9043161726469066E-2</v>
      </c>
    </row>
    <row r="25" spans="1:4" x14ac:dyDescent="0.35">
      <c r="A25" s="7" t="s">
        <v>70</v>
      </c>
      <c r="B25" s="9">
        <v>7.8157349896480321E-2</v>
      </c>
      <c r="C25" s="9">
        <v>8.8614116434827417E-2</v>
      </c>
      <c r="D25" s="10">
        <v>6.7602704108164324E-2</v>
      </c>
    </row>
    <row r="26" spans="1:4" x14ac:dyDescent="0.35">
      <c r="A26" s="7" t="s">
        <v>71</v>
      </c>
      <c r="B26" s="9">
        <v>6.2888198757763969E-2</v>
      </c>
      <c r="C26" s="9">
        <v>5.615662029881504E-2</v>
      </c>
      <c r="D26" s="10">
        <v>6.9682787311492453E-2</v>
      </c>
    </row>
    <row r="27" spans="1:4" x14ac:dyDescent="0.35">
      <c r="A27" s="7" t="s">
        <v>72</v>
      </c>
      <c r="B27" s="9">
        <v>8.5144927536231874E-2</v>
      </c>
      <c r="C27" s="9">
        <v>7.7279752704791344E-2</v>
      </c>
      <c r="D27" s="10">
        <v>9.3083723348933958E-2</v>
      </c>
    </row>
    <row r="28" spans="1:4" x14ac:dyDescent="0.35">
      <c r="A28" s="7" t="s">
        <v>73</v>
      </c>
      <c r="B28" s="9">
        <v>4.4513457556935816E-2</v>
      </c>
      <c r="C28" s="9">
        <v>4.0700669757856779E-2</v>
      </c>
      <c r="D28" s="10">
        <v>4.8361934477379097E-2</v>
      </c>
    </row>
    <row r="29" spans="1:4" x14ac:dyDescent="0.35">
      <c r="A29" s="7" t="s">
        <v>74</v>
      </c>
      <c r="B29" s="9">
        <v>3.4679089026915112E-2</v>
      </c>
      <c r="C29" s="9">
        <v>3.1942297784647085E-2</v>
      </c>
      <c r="D29" s="10">
        <v>3.7441497659906398E-2</v>
      </c>
    </row>
    <row r="30" spans="1:4" x14ac:dyDescent="0.35">
      <c r="A30" s="7" t="s">
        <v>75</v>
      </c>
      <c r="B30" s="9">
        <v>2.4327122153209112E-2</v>
      </c>
      <c r="C30" s="9">
        <v>2.5244719216898505E-2</v>
      </c>
      <c r="D30" s="10">
        <v>2.3400936037441498E-2</v>
      </c>
    </row>
    <row r="31" spans="1:4" x14ac:dyDescent="0.35">
      <c r="A31" s="7" t="s">
        <v>76</v>
      </c>
      <c r="B31" s="9">
        <v>2.2256728778467908E-2</v>
      </c>
      <c r="C31" s="9">
        <v>2.369912416280268E-2</v>
      </c>
      <c r="D31" s="10">
        <v>2.0800832033281331E-2</v>
      </c>
    </row>
    <row r="32" spans="1:4" x14ac:dyDescent="0.35">
      <c r="A32" s="7" t="s">
        <v>77</v>
      </c>
      <c r="B32" s="9">
        <v>1.9927536231884056E-2</v>
      </c>
      <c r="C32" s="9">
        <v>2.1638330757341576E-2</v>
      </c>
      <c r="D32" s="10">
        <v>1.8200728029121167E-2</v>
      </c>
    </row>
    <row r="33" spans="1:4" x14ac:dyDescent="0.35">
      <c r="A33" s="7" t="s">
        <v>78</v>
      </c>
      <c r="B33" s="9">
        <v>1.5786749482401656E-2</v>
      </c>
      <c r="C33" s="9">
        <v>1.8547140649149921E-2</v>
      </c>
      <c r="D33" s="10">
        <v>1.300052002080083E-2</v>
      </c>
    </row>
    <row r="34" spans="1:4" x14ac:dyDescent="0.35">
      <c r="A34" s="7" t="s">
        <v>79</v>
      </c>
      <c r="B34" s="9">
        <v>1.7598343685300204E-2</v>
      </c>
      <c r="C34" s="9">
        <v>1.3395157135497165E-2</v>
      </c>
      <c r="D34" s="10">
        <v>2.1840873634945399E-2</v>
      </c>
    </row>
    <row r="35" spans="1:4" ht="15" thickBot="1" x14ac:dyDescent="0.4">
      <c r="A35" s="11" t="s">
        <v>80</v>
      </c>
      <c r="B35" s="12">
        <v>1.578674948240166E-2</v>
      </c>
      <c r="C35" s="12">
        <v>1.5971148892323546E-2</v>
      </c>
      <c r="D35" s="13">
        <v>1.5600624024960999E-2</v>
      </c>
    </row>
    <row r="36" spans="1:4" x14ac:dyDescent="0.35">
      <c r="B36" s="14">
        <f>SUM(B12:B35)</f>
        <v>1</v>
      </c>
      <c r="C36" s="14">
        <f>SUM(C12:C35)</f>
        <v>1.0000000000000002</v>
      </c>
      <c r="D36" s="14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93F1-2FD7-4043-9F65-8F6914644DCD}">
  <sheetPr>
    <tabColor theme="8" tint="0.79998168889431442"/>
  </sheetPr>
  <dimension ref="A1:D36"/>
  <sheetViews>
    <sheetView topLeftCell="A16" zoomScaleNormal="100" workbookViewId="0">
      <selection activeCell="F32" sqref="F32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150</v>
      </c>
      <c r="C5" s="28"/>
      <c r="D5" s="29"/>
    </row>
    <row r="6" spans="1:4" x14ac:dyDescent="0.35">
      <c r="A6" s="7" t="s">
        <v>46</v>
      </c>
      <c r="B6" s="28" t="s">
        <v>84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1.9084609366268032E-2</v>
      </c>
      <c r="C12" s="9">
        <v>2.1192348446823942E-2</v>
      </c>
      <c r="D12" s="10">
        <v>1.696813574508595E-2</v>
      </c>
    </row>
    <row r="13" spans="1:4" x14ac:dyDescent="0.35">
      <c r="A13" s="7" t="s">
        <v>58</v>
      </c>
      <c r="B13" s="9">
        <v>2.3443612384039351E-2</v>
      </c>
      <c r="C13" s="9">
        <v>2.5319279460152819E-2</v>
      </c>
      <c r="D13" s="10">
        <v>2.1560172481379841E-2</v>
      </c>
    </row>
    <row r="14" spans="1:4" x14ac:dyDescent="0.35">
      <c r="A14" s="7" t="s">
        <v>59</v>
      </c>
      <c r="B14" s="9">
        <v>2.892030848329049E-2</v>
      </c>
      <c r="C14" s="9">
        <v>3.0282750543751055E-2</v>
      </c>
      <c r="D14" s="10">
        <v>2.755222041776334E-2</v>
      </c>
    </row>
    <row r="15" spans="1:4" x14ac:dyDescent="0.35">
      <c r="A15" s="7" t="s">
        <v>60</v>
      </c>
      <c r="B15" s="9">
        <v>3.1155694646250134E-2</v>
      </c>
      <c r="C15" s="9">
        <v>2.8888517093302105E-2</v>
      </c>
      <c r="D15" s="10">
        <v>3.343226745813966E-2</v>
      </c>
    </row>
    <row r="16" spans="1:4" x14ac:dyDescent="0.35">
      <c r="A16" s="7" t="s">
        <v>61</v>
      </c>
      <c r="B16" s="9">
        <v>3.9650162065496826E-2</v>
      </c>
      <c r="C16" s="9">
        <v>4.2663543583737668E-2</v>
      </c>
      <c r="D16" s="10">
        <v>3.6624292994343943E-2</v>
      </c>
    </row>
    <row r="17" spans="1:4" x14ac:dyDescent="0.35">
      <c r="A17" s="7" t="s">
        <v>62</v>
      </c>
      <c r="B17" s="9">
        <v>4.6523974516597739E-2</v>
      </c>
      <c r="C17" s="9">
        <v>4.996932686409012E-2</v>
      </c>
      <c r="D17" s="10">
        <v>4.3064344514756103E-2</v>
      </c>
    </row>
    <row r="18" spans="1:4" x14ac:dyDescent="0.35">
      <c r="A18" s="7" t="s">
        <v>63</v>
      </c>
      <c r="B18" s="9">
        <v>6.0802503632502516E-2</v>
      </c>
      <c r="C18" s="9">
        <v>6.1848195861915124E-2</v>
      </c>
      <c r="D18" s="10">
        <v>5.9752478019824147E-2</v>
      </c>
    </row>
    <row r="19" spans="1:4" x14ac:dyDescent="0.35">
      <c r="A19" s="7" t="s">
        <v>64</v>
      </c>
      <c r="B19" s="9">
        <v>6.1109869229909471E-2</v>
      </c>
      <c r="C19" s="9">
        <v>6.0621270425520055E-2</v>
      </c>
      <c r="D19" s="10">
        <v>6.1600492803942419E-2</v>
      </c>
    </row>
    <row r="20" spans="1:4" x14ac:dyDescent="0.35">
      <c r="A20" s="7" t="s">
        <v>65</v>
      </c>
      <c r="B20" s="9">
        <v>5.9125964010282778E-2</v>
      </c>
      <c r="C20" s="9">
        <v>5.7553956834532391E-2</v>
      </c>
      <c r="D20" s="10">
        <v>6.0704485635885062E-2</v>
      </c>
    </row>
    <row r="21" spans="1:4" x14ac:dyDescent="0.35">
      <c r="A21" s="7" t="s">
        <v>66</v>
      </c>
      <c r="B21" s="9">
        <v>6.6279199731753669E-2</v>
      </c>
      <c r="C21" s="9">
        <v>6.9042440466231689E-2</v>
      </c>
      <c r="D21" s="10">
        <v>6.3504508036064264E-2</v>
      </c>
    </row>
    <row r="22" spans="1:4" x14ac:dyDescent="0.35">
      <c r="A22" s="7" t="s">
        <v>67</v>
      </c>
      <c r="B22" s="9">
        <v>7.5528109980999222E-2</v>
      </c>
      <c r="C22" s="9">
        <v>7.3225140817578527E-2</v>
      </c>
      <c r="D22" s="10">
        <v>7.7840622724981781E-2</v>
      </c>
    </row>
    <row r="23" spans="1:4" x14ac:dyDescent="0.35">
      <c r="A23" s="7" t="s">
        <v>68</v>
      </c>
      <c r="B23" s="9">
        <v>6.7955739353973421E-2</v>
      </c>
      <c r="C23" s="9">
        <v>6.6253973565333815E-2</v>
      </c>
      <c r="D23" s="10">
        <v>6.9664557316458542E-2</v>
      </c>
    </row>
    <row r="24" spans="1:4" x14ac:dyDescent="0.35">
      <c r="A24" s="7" t="s">
        <v>69</v>
      </c>
      <c r="B24" s="9">
        <v>5.9936291494355656E-2</v>
      </c>
      <c r="C24" s="9">
        <v>5.4877028609670413E-2</v>
      </c>
      <c r="D24" s="10">
        <v>6.5016520132161013E-2</v>
      </c>
    </row>
    <row r="25" spans="1:4" x14ac:dyDescent="0.35">
      <c r="A25" s="7" t="s">
        <v>70</v>
      </c>
      <c r="B25" s="9">
        <v>5.4208114451771552E-2</v>
      </c>
      <c r="C25" s="9">
        <v>5.1753945680664805E-2</v>
      </c>
      <c r="D25" s="10">
        <v>5.6672453379627008E-2</v>
      </c>
    </row>
    <row r="26" spans="1:4" x14ac:dyDescent="0.35">
      <c r="A26" s="7" t="s">
        <v>71</v>
      </c>
      <c r="B26" s="9">
        <v>4.7501955962892591E-2</v>
      </c>
      <c r="C26" s="9">
        <v>4.7682784005353883E-2</v>
      </c>
      <c r="D26" s="10">
        <v>4.7320378563028495E-2</v>
      </c>
    </row>
    <row r="27" spans="1:4" x14ac:dyDescent="0.35">
      <c r="A27" s="7" t="s">
        <v>72</v>
      </c>
      <c r="B27" s="9">
        <v>4.6048954956968827E-2</v>
      </c>
      <c r="C27" s="9">
        <v>4.5619318498689436E-2</v>
      </c>
      <c r="D27" s="10">
        <v>4.6480371842974738E-2</v>
      </c>
    </row>
    <row r="28" spans="1:4" x14ac:dyDescent="0.35">
      <c r="A28" s="7" t="s">
        <v>73</v>
      </c>
      <c r="B28" s="9">
        <v>4.0600201184754665E-2</v>
      </c>
      <c r="C28" s="9">
        <v>4.138084880932464E-2</v>
      </c>
      <c r="D28" s="10">
        <v>3.9816318530548234E-2</v>
      </c>
    </row>
    <row r="29" spans="1:4" x14ac:dyDescent="0.35">
      <c r="A29" s="7" t="s">
        <v>74</v>
      </c>
      <c r="B29" s="9">
        <v>3.2664580306247894E-2</v>
      </c>
      <c r="C29" s="9">
        <v>3.0338519881769013E-2</v>
      </c>
      <c r="D29" s="10">
        <v>3.5000280002240008E-2</v>
      </c>
    </row>
    <row r="30" spans="1:4" x14ac:dyDescent="0.35">
      <c r="A30" s="7" t="s">
        <v>75</v>
      </c>
      <c r="B30" s="9">
        <v>3.0038001564770312E-2</v>
      </c>
      <c r="C30" s="9">
        <v>2.9780826501589436E-2</v>
      </c>
      <c r="D30" s="10">
        <v>3.0296242369938952E-2</v>
      </c>
    </row>
    <row r="31" spans="1:4" x14ac:dyDescent="0.35">
      <c r="A31" s="7" t="s">
        <v>76</v>
      </c>
      <c r="B31" s="9">
        <v>2.5567229238851016E-2</v>
      </c>
      <c r="C31" s="9">
        <v>2.6378896882494014E-2</v>
      </c>
      <c r="D31" s="10">
        <v>2.4752198017584132E-2</v>
      </c>
    </row>
    <row r="32" spans="1:4" x14ac:dyDescent="0.35">
      <c r="A32" s="7" t="s">
        <v>77</v>
      </c>
      <c r="B32" s="9">
        <v>2.4421593830334185E-2</v>
      </c>
      <c r="C32" s="9">
        <v>2.5207740784116903E-2</v>
      </c>
      <c r="D32" s="10">
        <v>2.3632189057512451E-2</v>
      </c>
    </row>
    <row r="33" spans="1:4" x14ac:dyDescent="0.35">
      <c r="A33" s="7" t="s">
        <v>78</v>
      </c>
      <c r="B33" s="9">
        <v>2.2549457918855494E-2</v>
      </c>
      <c r="C33" s="9">
        <v>2.0969271094752114E-2</v>
      </c>
      <c r="D33" s="10">
        <v>2.4136193089544712E-2</v>
      </c>
    </row>
    <row r="34" spans="1:4" x14ac:dyDescent="0.35">
      <c r="A34" s="7" t="s">
        <v>79</v>
      </c>
      <c r="B34" s="9">
        <v>1.8889013077009052E-2</v>
      </c>
      <c r="C34" s="9">
        <v>1.9240421616195415E-2</v>
      </c>
      <c r="D34" s="10">
        <v>1.8536148289186302E-2</v>
      </c>
    </row>
    <row r="35" spans="1:4" ht="15" thickBot="1" x14ac:dyDescent="0.4">
      <c r="A35" s="11" t="s">
        <v>80</v>
      </c>
      <c r="B35" s="12">
        <v>1.7994858611825194E-2</v>
      </c>
      <c r="C35" s="12">
        <v>1.9909653672410908E-2</v>
      </c>
      <c r="D35" s="13">
        <v>1.6072128577028607E-2</v>
      </c>
    </row>
    <row r="36" spans="1:4" x14ac:dyDescent="0.35">
      <c r="B36" s="14">
        <f>SUM(B12:B35)</f>
        <v>1.0000000000000002</v>
      </c>
      <c r="C36" s="14">
        <f>SUM(C12:C35)</f>
        <v>1.0000000000000004</v>
      </c>
      <c r="D36" s="14">
        <f>SUM(D12:D35)</f>
        <v>0.99999999999999944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D405-DE0F-47BC-ACB3-C6AE246B9968}">
  <sheetPr>
    <tabColor theme="8" tint="0.79998168889431442"/>
  </sheetPr>
  <dimension ref="A1:D36"/>
  <sheetViews>
    <sheetView topLeftCell="A9" zoomScaleNormal="100" workbookViewId="0">
      <selection activeCell="D12" sqref="D12: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151</v>
      </c>
      <c r="C5" s="28"/>
      <c r="D5" s="29"/>
    </row>
    <row r="6" spans="1:4" x14ac:dyDescent="0.35">
      <c r="A6" s="7" t="s">
        <v>46</v>
      </c>
      <c r="B6" s="28" t="s">
        <v>14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</v>
      </c>
      <c r="C21" s="9">
        <v>0</v>
      </c>
      <c r="D21" s="10">
        <v>0</v>
      </c>
    </row>
    <row r="22" spans="1:4" x14ac:dyDescent="0.35">
      <c r="A22" s="7" t="s">
        <v>67</v>
      </c>
      <c r="B22" s="9">
        <v>8.3333333333333329E-2</v>
      </c>
      <c r="C22" s="9">
        <v>0.16666666666666666</v>
      </c>
      <c r="D22" s="10">
        <v>0</v>
      </c>
    </row>
    <row r="23" spans="1:4" x14ac:dyDescent="0.35">
      <c r="A23" s="7" t="s">
        <v>68</v>
      </c>
      <c r="B23" s="9">
        <v>8.3333333333333329E-2</v>
      </c>
      <c r="C23" s="9">
        <v>0</v>
      </c>
      <c r="D23" s="10">
        <v>0.16666666666666666</v>
      </c>
    </row>
    <row r="24" spans="1:4" x14ac:dyDescent="0.35">
      <c r="A24" s="7" t="s">
        <v>69</v>
      </c>
      <c r="B24" s="9">
        <v>0.16666666666666666</v>
      </c>
      <c r="C24" s="9">
        <v>0.16666666666666666</v>
      </c>
      <c r="D24" s="10">
        <v>0.16666666666666666</v>
      </c>
    </row>
    <row r="25" spans="1:4" x14ac:dyDescent="0.35">
      <c r="A25" s="7" t="s">
        <v>70</v>
      </c>
      <c r="B25" s="9">
        <v>0.16666666666666666</v>
      </c>
      <c r="C25" s="9">
        <v>0.16666666666666666</v>
      </c>
      <c r="D25" s="10">
        <v>0.16666666666666666</v>
      </c>
    </row>
    <row r="26" spans="1:4" x14ac:dyDescent="0.35">
      <c r="A26" s="7" t="s">
        <v>71</v>
      </c>
      <c r="B26" s="9">
        <v>0.16666666666666666</v>
      </c>
      <c r="C26" s="9">
        <v>0.16666666666666666</v>
      </c>
      <c r="D26" s="10">
        <v>0.16666666666666666</v>
      </c>
    </row>
    <row r="27" spans="1:4" x14ac:dyDescent="0.35">
      <c r="A27" s="7" t="s">
        <v>72</v>
      </c>
      <c r="B27" s="9">
        <v>0.33333333333333331</v>
      </c>
      <c r="C27" s="9">
        <v>0.33333333333333331</v>
      </c>
      <c r="D27" s="10">
        <v>0.33333333333333331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833F-1229-4D97-9151-B5C45FD8B0A9}">
  <sheetPr>
    <tabColor theme="8" tint="0.79998168889431442"/>
  </sheetPr>
  <dimension ref="A1:D36"/>
  <sheetViews>
    <sheetView topLeftCell="B10" zoomScaleNormal="100" workbookViewId="0">
      <selection activeCell="B21" sqref="B21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154</v>
      </c>
      <c r="C5" s="28"/>
      <c r="D5" s="29"/>
    </row>
    <row r="6" spans="1:4" x14ac:dyDescent="0.35">
      <c r="A6" s="7" t="s">
        <v>46</v>
      </c>
      <c r="B6" s="28" t="s">
        <v>15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3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8.1967213114754103E-3</v>
      </c>
      <c r="C12" s="9">
        <v>1.6713091922005572E-2</v>
      </c>
      <c r="D12" s="10">
        <v>0</v>
      </c>
    </row>
    <row r="13" spans="1:4" x14ac:dyDescent="0.35">
      <c r="A13" s="7" t="s">
        <v>58</v>
      </c>
      <c r="B13" s="9">
        <v>9.562841530054645E-3</v>
      </c>
      <c r="C13" s="9">
        <v>1.3927576601671309E-2</v>
      </c>
      <c r="D13" s="10">
        <v>5.3619302949061663E-3</v>
      </c>
    </row>
    <row r="14" spans="1:4" x14ac:dyDescent="0.35">
      <c r="A14" s="7" t="s">
        <v>59</v>
      </c>
      <c r="B14" s="9">
        <v>8.1967213114754103E-3</v>
      </c>
      <c r="C14" s="9">
        <v>1.1142061281337047E-2</v>
      </c>
      <c r="D14" s="10">
        <v>5.3619302949061663E-3</v>
      </c>
    </row>
    <row r="15" spans="1:4" x14ac:dyDescent="0.35">
      <c r="A15" s="7" t="s">
        <v>60</v>
      </c>
      <c r="B15" s="9">
        <v>6.8306010928961746E-3</v>
      </c>
      <c r="C15" s="9">
        <v>8.356545961002786E-3</v>
      </c>
      <c r="D15" s="10">
        <v>5.3619302949061663E-3</v>
      </c>
    </row>
    <row r="16" spans="1:4" x14ac:dyDescent="0.35">
      <c r="A16" s="7" t="s">
        <v>61</v>
      </c>
      <c r="B16" s="9">
        <v>6.8306010928961746E-3</v>
      </c>
      <c r="C16" s="9">
        <v>5.5710306406685237E-3</v>
      </c>
      <c r="D16" s="10">
        <v>8.0428954423592495E-3</v>
      </c>
    </row>
    <row r="17" spans="1:4" x14ac:dyDescent="0.35">
      <c r="A17" s="7" t="s">
        <v>62</v>
      </c>
      <c r="B17" s="9">
        <v>2.3224043715846996E-2</v>
      </c>
      <c r="C17" s="9">
        <v>2.5069637883008356E-2</v>
      </c>
      <c r="D17" s="10">
        <v>2.1447721179624665E-2</v>
      </c>
    </row>
    <row r="18" spans="1:4" x14ac:dyDescent="0.35">
      <c r="A18" s="7" t="s">
        <v>63</v>
      </c>
      <c r="B18" s="9">
        <v>2.185792349726776E-2</v>
      </c>
      <c r="C18" s="9">
        <v>2.5069637883008356E-2</v>
      </c>
      <c r="D18" s="10">
        <v>1.876675603217158E-2</v>
      </c>
    </row>
    <row r="19" spans="1:4" x14ac:dyDescent="0.35">
      <c r="A19" s="7" t="s">
        <v>64</v>
      </c>
      <c r="B19" s="9">
        <v>5.3278688524590161E-2</v>
      </c>
      <c r="C19" s="9">
        <v>6.9637883008356549E-2</v>
      </c>
      <c r="D19" s="10">
        <v>3.7533512064343161E-2</v>
      </c>
    </row>
    <row r="20" spans="1:4" x14ac:dyDescent="0.35">
      <c r="A20" s="7" t="s">
        <v>65</v>
      </c>
      <c r="B20" s="9">
        <v>4.7814207650273222E-2</v>
      </c>
      <c r="C20" s="9">
        <v>3.3426183844011144E-2</v>
      </c>
      <c r="D20" s="10">
        <v>6.1662198391420911E-2</v>
      </c>
    </row>
    <row r="21" spans="1:4" x14ac:dyDescent="0.35">
      <c r="A21" s="7" t="s">
        <v>66</v>
      </c>
      <c r="B21" s="9">
        <v>5.8743169398907107E-2</v>
      </c>
      <c r="C21" s="9">
        <v>5.8495821727019497E-2</v>
      </c>
      <c r="D21" s="10">
        <v>5.8981233243967826E-2</v>
      </c>
    </row>
    <row r="22" spans="1:4" x14ac:dyDescent="0.35">
      <c r="A22" s="7" t="s">
        <v>67</v>
      </c>
      <c r="B22" s="9">
        <v>5.8743169398907107E-2</v>
      </c>
      <c r="C22" s="9">
        <v>5.5710306406685235E-2</v>
      </c>
      <c r="D22" s="10">
        <v>6.1662198391420911E-2</v>
      </c>
    </row>
    <row r="23" spans="1:4" x14ac:dyDescent="0.35">
      <c r="A23" s="7" t="s">
        <v>68</v>
      </c>
      <c r="B23" s="9">
        <v>9.2896174863387984E-2</v>
      </c>
      <c r="C23" s="9">
        <v>9.4707520891364902E-2</v>
      </c>
      <c r="D23" s="10">
        <v>9.1152815013404831E-2</v>
      </c>
    </row>
    <row r="24" spans="1:4" x14ac:dyDescent="0.35">
      <c r="A24" s="7" t="s">
        <v>69</v>
      </c>
      <c r="B24" s="9">
        <v>7.650273224043716E-2</v>
      </c>
      <c r="C24" s="9">
        <v>6.6852367688022288E-2</v>
      </c>
      <c r="D24" s="10">
        <v>8.5790884718498661E-2</v>
      </c>
    </row>
    <row r="25" spans="1:4" x14ac:dyDescent="0.35">
      <c r="A25" s="7" t="s">
        <v>70</v>
      </c>
      <c r="B25" s="9">
        <v>5.4644808743169397E-2</v>
      </c>
      <c r="C25" s="9">
        <v>4.1782729805013928E-2</v>
      </c>
      <c r="D25" s="10">
        <v>6.7024128686327081E-2</v>
      </c>
    </row>
    <row r="26" spans="1:4" x14ac:dyDescent="0.35">
      <c r="A26" s="7" t="s">
        <v>71</v>
      </c>
      <c r="B26" s="9">
        <v>6.5573770491803282E-2</v>
      </c>
      <c r="C26" s="9">
        <v>8.0779944289693595E-2</v>
      </c>
      <c r="D26" s="10">
        <v>5.0938337801608578E-2</v>
      </c>
    </row>
    <row r="27" spans="1:4" x14ac:dyDescent="0.35">
      <c r="A27" s="7" t="s">
        <v>72</v>
      </c>
      <c r="B27" s="9">
        <v>5.737704918032787E-2</v>
      </c>
      <c r="C27" s="9">
        <v>5.5710306406685235E-2</v>
      </c>
      <c r="D27" s="10">
        <v>5.8981233243967826E-2</v>
      </c>
    </row>
    <row r="28" spans="1:4" x14ac:dyDescent="0.35">
      <c r="A28" s="7" t="s">
        <v>73</v>
      </c>
      <c r="B28" s="9">
        <v>6.8306010928961755E-2</v>
      </c>
      <c r="C28" s="9">
        <v>7.5208913649025072E-2</v>
      </c>
      <c r="D28" s="10">
        <v>6.1662198391420911E-2</v>
      </c>
    </row>
    <row r="29" spans="1:4" x14ac:dyDescent="0.35">
      <c r="A29" s="7" t="s">
        <v>74</v>
      </c>
      <c r="B29" s="9">
        <v>7.1038251366120214E-2</v>
      </c>
      <c r="C29" s="9">
        <v>5.2924791086350974E-2</v>
      </c>
      <c r="D29" s="10">
        <v>8.8471849865951746E-2</v>
      </c>
    </row>
    <row r="30" spans="1:4" x14ac:dyDescent="0.35">
      <c r="A30" s="7" t="s">
        <v>75</v>
      </c>
      <c r="B30" s="9">
        <v>5.737704918032787E-2</v>
      </c>
      <c r="C30" s="9">
        <v>5.8495821727019497E-2</v>
      </c>
      <c r="D30" s="10">
        <v>5.6300268096514748E-2</v>
      </c>
    </row>
    <row r="31" spans="1:4" x14ac:dyDescent="0.35">
      <c r="A31" s="7" t="s">
        <v>76</v>
      </c>
      <c r="B31" s="9">
        <v>4.9180327868852458E-2</v>
      </c>
      <c r="C31" s="9">
        <v>4.7353760445682451E-2</v>
      </c>
      <c r="D31" s="10">
        <v>5.0938337801608578E-2</v>
      </c>
    </row>
    <row r="32" spans="1:4" x14ac:dyDescent="0.35">
      <c r="A32" s="7" t="s">
        <v>77</v>
      </c>
      <c r="B32" s="9">
        <v>5.1912568306010931E-2</v>
      </c>
      <c r="C32" s="9">
        <v>4.7353760445682451E-2</v>
      </c>
      <c r="D32" s="10">
        <v>5.6300268096514748E-2</v>
      </c>
    </row>
    <row r="33" spans="1:4" x14ac:dyDescent="0.35">
      <c r="A33" s="7" t="s">
        <v>78</v>
      </c>
      <c r="B33" s="9">
        <v>2.0491803278688523E-2</v>
      </c>
      <c r="C33" s="9">
        <v>1.3927576601671309E-2</v>
      </c>
      <c r="D33" s="10">
        <v>2.6809651474530832E-2</v>
      </c>
    </row>
    <row r="34" spans="1:4" x14ac:dyDescent="0.35">
      <c r="A34" s="7" t="s">
        <v>79</v>
      </c>
      <c r="B34" s="9">
        <v>1.7759562841530054E-2</v>
      </c>
      <c r="C34" s="9">
        <v>2.7855153203342618E-2</v>
      </c>
      <c r="D34" s="10">
        <v>8.0428954423592495E-3</v>
      </c>
    </row>
    <row r="35" spans="1:4" ht="15" thickBot="1" x14ac:dyDescent="0.4">
      <c r="A35" s="11" t="s">
        <v>80</v>
      </c>
      <c r="B35" s="12">
        <v>1.3661202185792349E-2</v>
      </c>
      <c r="C35" s="12">
        <v>1.3927576601671309E-2</v>
      </c>
      <c r="D35" s="13">
        <v>1.3404825737265416E-2</v>
      </c>
    </row>
    <row r="36" spans="1:4" x14ac:dyDescent="0.35">
      <c r="B36" s="14">
        <f>SUM(B12:B35)</f>
        <v>0.99999999999999956</v>
      </c>
      <c r="C36" s="14">
        <f>SUM(C12:C35)</f>
        <v>1</v>
      </c>
      <c r="D36" s="14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93FA-29C5-41E7-96CD-8EE8630554D4}">
  <sheetPr>
    <tabColor theme="8" tint="0.79998168889431442"/>
  </sheetPr>
  <dimension ref="A1:D36"/>
  <sheetViews>
    <sheetView zoomScaleNormal="100" workbookViewId="0">
      <selection activeCell="D12" sqref="D12: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155</v>
      </c>
      <c r="C5" s="28"/>
      <c r="D5" s="29"/>
    </row>
    <row r="6" spans="1:4" x14ac:dyDescent="0.35">
      <c r="A6" s="7" t="s">
        <v>46</v>
      </c>
      <c r="B6" s="28" t="s">
        <v>86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2.8740740740740744E-2</v>
      </c>
      <c r="C12" s="9">
        <v>3.2582938388625596E-2</v>
      </c>
      <c r="D12" s="10">
        <v>2.4896265560165973E-2</v>
      </c>
    </row>
    <row r="13" spans="1:4" x14ac:dyDescent="0.35">
      <c r="A13" s="7" t="s">
        <v>58</v>
      </c>
      <c r="B13" s="9">
        <v>2.6074074074074076E-2</v>
      </c>
      <c r="C13" s="9">
        <v>2.5473933649289106E-2</v>
      </c>
      <c r="D13" s="10">
        <v>2.6674570243034972E-2</v>
      </c>
    </row>
    <row r="14" spans="1:4" x14ac:dyDescent="0.35">
      <c r="A14" s="7" t="s">
        <v>59</v>
      </c>
      <c r="B14" s="9">
        <v>2.9925925925925925E-2</v>
      </c>
      <c r="C14" s="9">
        <v>2.5473933649289106E-2</v>
      </c>
      <c r="D14" s="10">
        <v>3.4380557202133961E-2</v>
      </c>
    </row>
    <row r="15" spans="1:4" x14ac:dyDescent="0.35">
      <c r="A15" s="7" t="s">
        <v>60</v>
      </c>
      <c r="B15" s="9">
        <v>3.2592592592592597E-2</v>
      </c>
      <c r="C15" s="9">
        <v>3.0213270142180101E-2</v>
      </c>
      <c r="D15" s="10">
        <v>3.4973325429756966E-2</v>
      </c>
    </row>
    <row r="16" spans="1:4" x14ac:dyDescent="0.35">
      <c r="A16" s="7" t="s">
        <v>61</v>
      </c>
      <c r="B16" s="9">
        <v>3.5555555555555556E-2</v>
      </c>
      <c r="C16" s="9">
        <v>3.4952606635071104E-2</v>
      </c>
      <c r="D16" s="10">
        <v>3.615886188500296E-2</v>
      </c>
    </row>
    <row r="17" spans="1:4" x14ac:dyDescent="0.35">
      <c r="A17" s="7" t="s">
        <v>62</v>
      </c>
      <c r="B17" s="9">
        <v>3.7925925925925932E-2</v>
      </c>
      <c r="C17" s="9">
        <v>3.7322274881516598E-2</v>
      </c>
      <c r="D17" s="10">
        <v>3.8529934795494963E-2</v>
      </c>
    </row>
    <row r="18" spans="1:4" x14ac:dyDescent="0.35">
      <c r="A18" s="7" t="s">
        <v>63</v>
      </c>
      <c r="B18" s="9">
        <v>4.6814814814814816E-2</v>
      </c>
      <c r="C18" s="9">
        <v>4.6208530805687216E-2</v>
      </c>
      <c r="D18" s="10">
        <v>4.7421458209839951E-2</v>
      </c>
    </row>
    <row r="19" spans="1:4" x14ac:dyDescent="0.35">
      <c r="A19" s="7" t="s">
        <v>64</v>
      </c>
      <c r="B19" s="9">
        <v>4.2074074074074076E-2</v>
      </c>
      <c r="C19" s="9">
        <v>4.3246445497630348E-2</v>
      </c>
      <c r="D19" s="10">
        <v>4.090100770598696E-2</v>
      </c>
    </row>
    <row r="20" spans="1:4" x14ac:dyDescent="0.35">
      <c r="A20" s="7" t="s">
        <v>65</v>
      </c>
      <c r="B20" s="9">
        <v>5.1555555555555556E-2</v>
      </c>
      <c r="C20" s="9">
        <v>5.0355450236966845E-2</v>
      </c>
      <c r="D20" s="10">
        <v>5.2756372258446947E-2</v>
      </c>
    </row>
    <row r="21" spans="1:4" x14ac:dyDescent="0.35">
      <c r="A21" s="7" t="s">
        <v>66</v>
      </c>
      <c r="B21" s="9">
        <v>5.6592592592592597E-2</v>
      </c>
      <c r="C21" s="9">
        <v>5.8649289099526082E-2</v>
      </c>
      <c r="D21" s="10">
        <v>5.4534676941315946E-2</v>
      </c>
    </row>
    <row r="22" spans="1:4" x14ac:dyDescent="0.35">
      <c r="A22" s="7" t="s">
        <v>67</v>
      </c>
      <c r="B22" s="9">
        <v>6.1037037037037042E-2</v>
      </c>
      <c r="C22" s="9">
        <v>6.2203791469194331E-2</v>
      </c>
      <c r="D22" s="10">
        <v>5.9869590989922943E-2</v>
      </c>
    </row>
    <row r="23" spans="1:4" x14ac:dyDescent="0.35">
      <c r="A23" s="7" t="s">
        <v>68</v>
      </c>
      <c r="B23" s="9">
        <v>5.8666666666666666E-2</v>
      </c>
      <c r="C23" s="9">
        <v>5.390995260663508E-2</v>
      </c>
      <c r="D23" s="10">
        <v>6.3426200355660933E-2</v>
      </c>
    </row>
    <row r="24" spans="1:4" x14ac:dyDescent="0.35">
      <c r="A24" s="7" t="s">
        <v>69</v>
      </c>
      <c r="B24" s="9">
        <v>5.9259259259259262E-2</v>
      </c>
      <c r="C24" s="9">
        <v>6.2203791469194331E-2</v>
      </c>
      <c r="D24" s="10">
        <v>5.6312981624184945E-2</v>
      </c>
    </row>
    <row r="25" spans="1:4" x14ac:dyDescent="0.35">
      <c r="A25" s="7" t="s">
        <v>70</v>
      </c>
      <c r="B25" s="9">
        <v>5.9555555555555556E-2</v>
      </c>
      <c r="C25" s="9">
        <v>5.5094786729857841E-2</v>
      </c>
      <c r="D25" s="10">
        <v>6.4018968583283931E-2</v>
      </c>
    </row>
    <row r="26" spans="1:4" x14ac:dyDescent="0.35">
      <c r="A26" s="7" t="s">
        <v>71</v>
      </c>
      <c r="B26" s="9">
        <v>4.7703703703703706E-2</v>
      </c>
      <c r="C26" s="9">
        <v>5.0947867298578212E-2</v>
      </c>
      <c r="D26" s="10">
        <v>4.445761707172495E-2</v>
      </c>
    </row>
    <row r="27" spans="1:4" x14ac:dyDescent="0.35">
      <c r="A27" s="7" t="s">
        <v>72</v>
      </c>
      <c r="B27" s="9">
        <v>5.0074074074074076E-2</v>
      </c>
      <c r="C27" s="9">
        <v>5.0947867298578212E-2</v>
      </c>
      <c r="D27" s="10">
        <v>4.9199762892708956E-2</v>
      </c>
    </row>
    <row r="28" spans="1:4" x14ac:dyDescent="0.35">
      <c r="A28" s="7" t="s">
        <v>73</v>
      </c>
      <c r="B28" s="9">
        <v>4.3555555555555556E-2</v>
      </c>
      <c r="C28" s="9">
        <v>4.4431279620853102E-2</v>
      </c>
      <c r="D28" s="10">
        <v>4.2679312388855951E-2</v>
      </c>
    </row>
    <row r="29" spans="1:4" x14ac:dyDescent="0.35">
      <c r="A29" s="7" t="s">
        <v>74</v>
      </c>
      <c r="B29" s="9">
        <v>4.8296296296296296E-2</v>
      </c>
      <c r="C29" s="9">
        <v>4.3838862559241729E-2</v>
      </c>
      <c r="D29" s="10">
        <v>5.275637225844694E-2</v>
      </c>
    </row>
    <row r="30" spans="1:4" x14ac:dyDescent="0.35">
      <c r="A30" s="7" t="s">
        <v>75</v>
      </c>
      <c r="B30" s="9">
        <v>3.0222222222222223E-2</v>
      </c>
      <c r="C30" s="9">
        <v>3.1990521327014229E-2</v>
      </c>
      <c r="D30" s="10">
        <v>2.8452874925903971E-2</v>
      </c>
    </row>
    <row r="31" spans="1:4" x14ac:dyDescent="0.35">
      <c r="A31" s="7" t="s">
        <v>76</v>
      </c>
      <c r="B31" s="9">
        <v>2.5185185185185185E-2</v>
      </c>
      <c r="C31" s="9">
        <v>2.7251184834123227E-2</v>
      </c>
      <c r="D31" s="10">
        <v>2.3117960877296975E-2</v>
      </c>
    </row>
    <row r="32" spans="1:4" x14ac:dyDescent="0.35">
      <c r="A32" s="7" t="s">
        <v>77</v>
      </c>
      <c r="B32" s="9">
        <v>3.4370370370370378E-2</v>
      </c>
      <c r="C32" s="9">
        <v>3.4952606635071097E-2</v>
      </c>
      <c r="D32" s="10">
        <v>3.3787788974510964E-2</v>
      </c>
    </row>
    <row r="33" spans="1:4" x14ac:dyDescent="0.35">
      <c r="A33" s="7" t="s">
        <v>78</v>
      </c>
      <c r="B33" s="9">
        <v>3.3185185185185186E-2</v>
      </c>
      <c r="C33" s="9">
        <v>3.4360189573459723E-2</v>
      </c>
      <c r="D33" s="10">
        <v>3.2009484291641965E-2</v>
      </c>
    </row>
    <row r="34" spans="1:4" x14ac:dyDescent="0.35">
      <c r="A34" s="7" t="s">
        <v>79</v>
      </c>
      <c r="B34" s="9">
        <v>3.0814814814814819E-2</v>
      </c>
      <c r="C34" s="9">
        <v>3.1990521327014229E-2</v>
      </c>
      <c r="D34" s="10">
        <v>2.9638411381149966E-2</v>
      </c>
    </row>
    <row r="35" spans="1:4" ht="15" thickBot="1" x14ac:dyDescent="0.4">
      <c r="A35" s="11" t="s">
        <v>80</v>
      </c>
      <c r="B35" s="12">
        <v>3.0222222222222223E-2</v>
      </c>
      <c r="C35" s="12">
        <v>3.1398104265402849E-2</v>
      </c>
      <c r="D35" s="13">
        <v>2.9045643153526972E-2</v>
      </c>
    </row>
    <row r="36" spans="1:4" x14ac:dyDescent="0.35">
      <c r="B36" s="14">
        <f>SUM(B12:B35)</f>
        <v>1.0000000000000002</v>
      </c>
      <c r="C36" s="14">
        <f>SUM(C12:C35)</f>
        <v>1.0000000000000004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B071-06DA-416E-A695-C24060C825FF}">
  <sheetPr>
    <tabColor theme="8" tint="0.79998168889431442"/>
  </sheetPr>
  <dimension ref="A1:D36"/>
  <sheetViews>
    <sheetView topLeftCell="A10" zoomScaleNormal="100" workbookViewId="0">
      <selection activeCell="D12" sqref="D12: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42">
        <v>170</v>
      </c>
      <c r="C5" s="40"/>
      <c r="D5" s="41"/>
    </row>
    <row r="6" spans="1:4" x14ac:dyDescent="0.35">
      <c r="A6" s="7" t="s">
        <v>46</v>
      </c>
      <c r="B6" s="42" t="s">
        <v>16</v>
      </c>
      <c r="C6" s="40"/>
      <c r="D6" s="41"/>
    </row>
    <row r="7" spans="1:4" x14ac:dyDescent="0.35">
      <c r="A7" s="7" t="s">
        <v>47</v>
      </c>
      <c r="B7" s="42" t="s">
        <v>48</v>
      </c>
      <c r="C7" s="40"/>
      <c r="D7" s="41"/>
    </row>
    <row r="8" spans="1:4" x14ac:dyDescent="0.35">
      <c r="A8" s="7" t="s">
        <v>49</v>
      </c>
      <c r="B8" s="42" t="s">
        <v>50</v>
      </c>
      <c r="C8" s="40"/>
      <c r="D8" s="41"/>
    </row>
    <row r="9" spans="1:4" x14ac:dyDescent="0.35">
      <c r="A9" s="7" t="s">
        <v>51</v>
      </c>
      <c r="B9" s="28">
        <v>13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6.25E-2</v>
      </c>
      <c r="C21" s="9">
        <v>6.25E-2</v>
      </c>
      <c r="D21" s="10">
        <v>6.25E-2</v>
      </c>
    </row>
    <row r="22" spans="1:4" x14ac:dyDescent="0.35">
      <c r="A22" s="7" t="s">
        <v>67</v>
      </c>
      <c r="B22" s="9">
        <v>0.125</v>
      </c>
      <c r="C22" s="9">
        <v>0.125</v>
      </c>
      <c r="D22" s="10">
        <v>0.125</v>
      </c>
    </row>
    <row r="23" spans="1:4" x14ac:dyDescent="0.35">
      <c r="A23" s="7" t="s">
        <v>68</v>
      </c>
      <c r="B23" s="9">
        <v>0.125</v>
      </c>
      <c r="C23" s="9">
        <v>0.125</v>
      </c>
      <c r="D23" s="10">
        <v>0.125</v>
      </c>
    </row>
    <row r="24" spans="1:4" x14ac:dyDescent="0.35">
      <c r="A24" s="7" t="s">
        <v>69</v>
      </c>
      <c r="B24" s="9">
        <v>0.1875</v>
      </c>
      <c r="C24" s="9">
        <v>0.1875</v>
      </c>
      <c r="D24" s="10">
        <v>0.1875</v>
      </c>
    </row>
    <row r="25" spans="1:4" x14ac:dyDescent="0.35">
      <c r="A25" s="7" t="s">
        <v>70</v>
      </c>
      <c r="B25" s="9">
        <v>6.25E-2</v>
      </c>
      <c r="C25" s="9">
        <v>6.25E-2</v>
      </c>
      <c r="D25" s="10">
        <v>6.25E-2</v>
      </c>
    </row>
    <row r="26" spans="1:4" x14ac:dyDescent="0.35">
      <c r="A26" s="7" t="s">
        <v>71</v>
      </c>
      <c r="B26" s="9">
        <v>0.25</v>
      </c>
      <c r="C26" s="9">
        <v>0.25</v>
      </c>
      <c r="D26" s="10">
        <v>0.25</v>
      </c>
    </row>
    <row r="27" spans="1:4" x14ac:dyDescent="0.35">
      <c r="A27" s="7" t="s">
        <v>72</v>
      </c>
      <c r="B27" s="9">
        <v>0.125</v>
      </c>
      <c r="C27" s="9">
        <v>0.125</v>
      </c>
      <c r="D27" s="10">
        <v>0.125</v>
      </c>
    </row>
    <row r="28" spans="1:4" x14ac:dyDescent="0.35">
      <c r="A28" s="7" t="s">
        <v>73</v>
      </c>
      <c r="B28" s="9">
        <v>6.25E-2</v>
      </c>
      <c r="C28" s="9">
        <v>6.25E-2</v>
      </c>
      <c r="D28" s="10">
        <v>6.25E-2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DB2E-835C-4144-92F3-C93937CBBA38}">
  <sheetPr>
    <tabColor theme="8" tint="0.79998168889431442"/>
  </sheetPr>
  <dimension ref="A1:D36"/>
  <sheetViews>
    <sheetView topLeftCell="A11" zoomScaleNormal="100" workbookViewId="0">
      <selection activeCell="C37" sqref="C37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81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180</v>
      </c>
      <c r="C5" s="28"/>
      <c r="D5" s="29"/>
    </row>
    <row r="6" spans="1:4" x14ac:dyDescent="0.35">
      <c r="A6" s="7" t="s">
        <v>46</v>
      </c>
      <c r="B6" s="28" t="s">
        <v>17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20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1.5151515151515152E-2</v>
      </c>
      <c r="C19" s="9">
        <v>3.0303030303030304E-2</v>
      </c>
      <c r="D19" s="10">
        <v>0</v>
      </c>
    </row>
    <row r="20" spans="1:4" x14ac:dyDescent="0.35">
      <c r="A20" s="7" t="s">
        <v>65</v>
      </c>
      <c r="B20" s="9">
        <v>4.5454545454545456E-2</v>
      </c>
      <c r="C20" s="9">
        <v>6.0606060606060608E-2</v>
      </c>
      <c r="D20" s="10">
        <v>3.0303030303030304E-2</v>
      </c>
    </row>
    <row r="21" spans="1:4" x14ac:dyDescent="0.35">
      <c r="A21" s="7" t="s">
        <v>66</v>
      </c>
      <c r="B21" s="9">
        <v>0.13636363636363635</v>
      </c>
      <c r="C21" s="9">
        <v>0.12121212121212122</v>
      </c>
      <c r="D21" s="10">
        <v>0.15151515151515152</v>
      </c>
    </row>
    <row r="22" spans="1:4" x14ac:dyDescent="0.35">
      <c r="A22" s="7" t="s">
        <v>67</v>
      </c>
      <c r="B22" s="9">
        <v>0.18181818181818182</v>
      </c>
      <c r="C22" s="9">
        <v>0.18181818181818182</v>
      </c>
      <c r="D22" s="10">
        <v>0.18181818181818182</v>
      </c>
    </row>
    <row r="23" spans="1:4" x14ac:dyDescent="0.35">
      <c r="A23" s="7" t="s">
        <v>68</v>
      </c>
      <c r="B23" s="9">
        <v>0.10606060606060606</v>
      </c>
      <c r="C23" s="9">
        <v>9.0909090909090912E-2</v>
      </c>
      <c r="D23" s="10">
        <v>0.12121212121212122</v>
      </c>
    </row>
    <row r="24" spans="1:4" x14ac:dyDescent="0.35">
      <c r="A24" s="7" t="s">
        <v>69</v>
      </c>
      <c r="B24" s="9">
        <v>0.15151515151515152</v>
      </c>
      <c r="C24" s="9">
        <v>0.15151515151515152</v>
      </c>
      <c r="D24" s="10">
        <v>0.15151515151515152</v>
      </c>
    </row>
    <row r="25" spans="1:4" x14ac:dyDescent="0.35">
      <c r="A25" s="7" t="s">
        <v>70</v>
      </c>
      <c r="B25" s="9">
        <v>0.22727272727272727</v>
      </c>
      <c r="C25" s="9">
        <v>0.24242424242424243</v>
      </c>
      <c r="D25" s="10">
        <v>0.21212121212121213</v>
      </c>
    </row>
    <row r="26" spans="1:4" x14ac:dyDescent="0.35">
      <c r="A26" s="7" t="s">
        <v>71</v>
      </c>
      <c r="B26" s="9">
        <v>4.5454545454545456E-2</v>
      </c>
      <c r="C26" s="9">
        <v>3.0303030303030304E-2</v>
      </c>
      <c r="D26" s="10">
        <v>6.0606060606060608E-2</v>
      </c>
    </row>
    <row r="27" spans="1:4" x14ac:dyDescent="0.35">
      <c r="A27" s="7" t="s">
        <v>72</v>
      </c>
      <c r="B27" s="9">
        <v>6.0606060606060608E-2</v>
      </c>
      <c r="C27" s="9">
        <v>6.0606060606060608E-2</v>
      </c>
      <c r="D27" s="10">
        <v>6.0606060606060608E-2</v>
      </c>
    </row>
    <row r="28" spans="1:4" x14ac:dyDescent="0.35">
      <c r="A28" s="7" t="s">
        <v>73</v>
      </c>
      <c r="B28" s="9">
        <v>3.0303030303030304E-2</v>
      </c>
      <c r="C28" s="9">
        <v>3.0303030303030304E-2</v>
      </c>
      <c r="D28" s="10">
        <v>3.0303030303030304E-2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EC70-55F4-4248-8989-F1466628572F}">
  <sheetPr>
    <tabColor theme="8" tint="0.79998168889431442"/>
  </sheetPr>
  <dimension ref="A1:D36"/>
  <sheetViews>
    <sheetView topLeftCell="A4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254</v>
      </c>
      <c r="C5" s="28"/>
      <c r="D5" s="29"/>
    </row>
    <row r="6" spans="1:4" x14ac:dyDescent="0.35">
      <c r="A6" s="7" t="s">
        <v>46</v>
      </c>
      <c r="B6" s="28" t="s">
        <v>18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9.0909090909090912E-2</v>
      </c>
      <c r="C18" s="9">
        <v>9.0909090909090912E-2</v>
      </c>
      <c r="D18" s="10">
        <v>9.0909090909090912E-2</v>
      </c>
    </row>
    <row r="19" spans="1:4" x14ac:dyDescent="0.35">
      <c r="A19" s="7" t="s">
        <v>64</v>
      </c>
      <c r="B19" s="9">
        <v>9.0909090909090912E-2</v>
      </c>
      <c r="C19" s="9">
        <v>9.0909090909090912E-2</v>
      </c>
      <c r="D19" s="10">
        <v>9.0909090909090912E-2</v>
      </c>
    </row>
    <row r="20" spans="1:4" x14ac:dyDescent="0.35">
      <c r="A20" s="7" t="s">
        <v>65</v>
      </c>
      <c r="B20" s="9">
        <v>9.0909090909090912E-2</v>
      </c>
      <c r="C20" s="9">
        <v>0.18181818181818182</v>
      </c>
      <c r="D20" s="10">
        <v>0</v>
      </c>
    </row>
    <row r="21" spans="1:4" x14ac:dyDescent="0.35">
      <c r="A21" s="7" t="s">
        <v>66</v>
      </c>
      <c r="B21" s="9">
        <v>4.5454545454545456E-2</v>
      </c>
      <c r="C21" s="9">
        <v>0</v>
      </c>
      <c r="D21" s="10">
        <v>9.0909090909090912E-2</v>
      </c>
    </row>
    <row r="22" spans="1:4" x14ac:dyDescent="0.35">
      <c r="A22" s="7" t="s">
        <v>67</v>
      </c>
      <c r="B22" s="9">
        <v>0.13636363636363635</v>
      </c>
      <c r="C22" s="9">
        <v>9.0909090909090912E-2</v>
      </c>
      <c r="D22" s="10">
        <v>0.18181818181818182</v>
      </c>
    </row>
    <row r="23" spans="1:4" x14ac:dyDescent="0.35">
      <c r="A23" s="7" t="s">
        <v>68</v>
      </c>
      <c r="B23" s="9">
        <v>9.0909090909090912E-2</v>
      </c>
      <c r="C23" s="9">
        <v>9.0909090909090912E-2</v>
      </c>
      <c r="D23" s="10">
        <v>9.0909090909090912E-2</v>
      </c>
    </row>
    <row r="24" spans="1:4" x14ac:dyDescent="0.35">
      <c r="A24" s="7" t="s">
        <v>69</v>
      </c>
      <c r="B24" s="9">
        <v>9.0909090909090912E-2</v>
      </c>
      <c r="C24" s="9">
        <v>9.0909090909090912E-2</v>
      </c>
      <c r="D24" s="10">
        <v>9.0909090909090912E-2</v>
      </c>
    </row>
    <row r="25" spans="1:4" x14ac:dyDescent="0.35">
      <c r="A25" s="7" t="s">
        <v>70</v>
      </c>
      <c r="B25" s="9">
        <v>4.5454545454545456E-2</v>
      </c>
      <c r="C25" s="9">
        <v>9.0909090909090912E-2</v>
      </c>
      <c r="D25" s="10">
        <v>0</v>
      </c>
    </row>
    <row r="26" spans="1:4" x14ac:dyDescent="0.35">
      <c r="A26" s="7" t="s">
        <v>71</v>
      </c>
      <c r="B26" s="9">
        <v>4.5454545454545456E-2</v>
      </c>
      <c r="C26" s="9">
        <v>0</v>
      </c>
      <c r="D26" s="10">
        <v>9.0909090909090912E-2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0.13636363636363635</v>
      </c>
      <c r="C28" s="9">
        <v>0.18181818181818182</v>
      </c>
      <c r="D28" s="10">
        <v>9.0909090909090912E-2</v>
      </c>
    </row>
    <row r="29" spans="1:4" x14ac:dyDescent="0.35">
      <c r="A29" s="7" t="s">
        <v>74</v>
      </c>
      <c r="B29" s="9">
        <v>0.13636363636363635</v>
      </c>
      <c r="C29" s="9">
        <v>9.0909090909090912E-2</v>
      </c>
      <c r="D29" s="10">
        <v>0.18181818181818182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2FE8-776C-48A9-8CD9-B00AD99C5334}">
  <sheetPr>
    <tabColor theme="8" tint="0.79998168889431442"/>
  </sheetPr>
  <dimension ref="A1:D36"/>
  <sheetViews>
    <sheetView topLeftCell="A8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43"/>
      <c r="B2" s="44"/>
      <c r="C2" s="44"/>
      <c r="D2" s="45"/>
    </row>
    <row r="3" spans="1:4" x14ac:dyDescent="0.35">
      <c r="A3" s="39" t="s">
        <v>90</v>
      </c>
      <c r="B3" s="40"/>
      <c r="C3" s="40"/>
      <c r="D3" s="41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312</v>
      </c>
      <c r="C5" s="28"/>
      <c r="D5" s="29"/>
    </row>
    <row r="6" spans="1:4" x14ac:dyDescent="0.35">
      <c r="A6" s="7" t="s">
        <v>46</v>
      </c>
      <c r="B6" s="28" t="s">
        <v>87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0.08</v>
      </c>
      <c r="C19" s="9">
        <v>7.1428571428571425E-2</v>
      </c>
      <c r="D19" s="10">
        <v>9.0909090909090912E-2</v>
      </c>
    </row>
    <row r="20" spans="1:4" x14ac:dyDescent="0.35">
      <c r="A20" s="7" t="s">
        <v>65</v>
      </c>
      <c r="B20" s="9">
        <v>0.08</v>
      </c>
      <c r="C20" s="9">
        <v>0.14285714285714285</v>
      </c>
      <c r="D20" s="10">
        <v>0</v>
      </c>
    </row>
    <row r="21" spans="1:4" x14ac:dyDescent="0.35">
      <c r="A21" s="7" t="s">
        <v>66</v>
      </c>
      <c r="B21" s="9">
        <v>0.08</v>
      </c>
      <c r="C21" s="9">
        <v>7.1428571428571425E-2</v>
      </c>
      <c r="D21" s="10">
        <v>9.0909090909090912E-2</v>
      </c>
    </row>
    <row r="22" spans="1:4" x14ac:dyDescent="0.35">
      <c r="A22" s="7" t="s">
        <v>67</v>
      </c>
      <c r="B22" s="9">
        <v>0.2</v>
      </c>
      <c r="C22" s="9">
        <v>0.21428571428571427</v>
      </c>
      <c r="D22" s="10">
        <v>0.18181818181818182</v>
      </c>
    </row>
    <row r="23" spans="1:4" x14ac:dyDescent="0.35">
      <c r="A23" s="7" t="s">
        <v>68</v>
      </c>
      <c r="B23" s="9">
        <v>0.08</v>
      </c>
      <c r="C23" s="9">
        <v>0</v>
      </c>
      <c r="D23" s="10">
        <v>0.18181818181818182</v>
      </c>
    </row>
    <row r="24" spans="1:4" x14ac:dyDescent="0.35">
      <c r="A24" s="7" t="s">
        <v>69</v>
      </c>
      <c r="B24" s="9">
        <v>0.24</v>
      </c>
      <c r="C24" s="9">
        <v>0.21428571428571427</v>
      </c>
      <c r="D24" s="10">
        <v>0.27272727272727271</v>
      </c>
    </row>
    <row r="25" spans="1:4" x14ac:dyDescent="0.35">
      <c r="A25" s="7" t="s">
        <v>70</v>
      </c>
      <c r="B25" s="9">
        <v>0.08</v>
      </c>
      <c r="C25" s="9">
        <v>7.1428571428571425E-2</v>
      </c>
      <c r="D25" s="10">
        <v>9.0909090909090912E-2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0.08</v>
      </c>
      <c r="C28" s="9">
        <v>7.1428571428571425E-2</v>
      </c>
      <c r="D28" s="10">
        <v>9.0909090909090912E-2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0.04</v>
      </c>
      <c r="C30" s="9">
        <v>7.1428571428571425E-2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0.04</v>
      </c>
      <c r="C32" s="9">
        <v>7.1428571428571425E-2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A349-2D89-4527-8E61-AFFA08AC1A8A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320</v>
      </c>
      <c r="C5" s="28"/>
      <c r="D5" s="29"/>
    </row>
    <row r="6" spans="1:4" x14ac:dyDescent="0.35">
      <c r="A6" s="7" t="s">
        <v>46</v>
      </c>
      <c r="B6" s="28" t="s">
        <v>19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0.1111111111111111</v>
      </c>
      <c r="C19" s="9">
        <v>0.22222222222222221</v>
      </c>
      <c r="D19" s="10">
        <v>0</v>
      </c>
    </row>
    <row r="20" spans="1:4" x14ac:dyDescent="0.35">
      <c r="A20" s="7" t="s">
        <v>65</v>
      </c>
      <c r="B20" s="9">
        <v>0.1111111111111111</v>
      </c>
      <c r="C20" s="9">
        <v>0.22222222222222221</v>
      </c>
      <c r="D20" s="10">
        <v>0</v>
      </c>
    </row>
    <row r="21" spans="1:4" x14ac:dyDescent="0.35">
      <c r="A21" s="7" t="s">
        <v>66</v>
      </c>
      <c r="B21" s="9">
        <v>0.16666666666666666</v>
      </c>
      <c r="C21" s="9">
        <v>0.1111111111111111</v>
      </c>
      <c r="D21" s="10">
        <v>0.22222222222222221</v>
      </c>
    </row>
    <row r="22" spans="1:4" x14ac:dyDescent="0.35">
      <c r="A22" s="7" t="s">
        <v>67</v>
      </c>
      <c r="B22" s="9">
        <v>0.22222222222222221</v>
      </c>
      <c r="C22" s="9">
        <v>0.1111111111111111</v>
      </c>
      <c r="D22" s="10">
        <v>0.33333333333333331</v>
      </c>
    </row>
    <row r="23" spans="1:4" x14ac:dyDescent="0.35">
      <c r="A23" s="7" t="s">
        <v>68</v>
      </c>
      <c r="B23" s="9">
        <v>0</v>
      </c>
      <c r="C23" s="9">
        <v>0</v>
      </c>
      <c r="D23" s="10">
        <v>0</v>
      </c>
    </row>
    <row r="24" spans="1:4" x14ac:dyDescent="0.35">
      <c r="A24" s="7" t="s">
        <v>69</v>
      </c>
      <c r="B24" s="9">
        <v>0</v>
      </c>
      <c r="C24" s="9">
        <v>0</v>
      </c>
      <c r="D24" s="10">
        <v>0</v>
      </c>
    </row>
    <row r="25" spans="1:4" x14ac:dyDescent="0.35">
      <c r="A25" s="7" t="s">
        <v>70</v>
      </c>
      <c r="B25" s="9">
        <v>0.16666666666666666</v>
      </c>
      <c r="C25" s="9">
        <v>0.1111111111111111</v>
      </c>
      <c r="D25" s="10">
        <v>0.22222222222222221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0.22222222222222221</v>
      </c>
      <c r="C29" s="9">
        <v>0.22222222222222221</v>
      </c>
      <c r="D29" s="10">
        <v>0.22222222222222221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49E9-B74E-45C1-B4F7-B9BC0FD0DBBB}">
  <sheetPr>
    <tabColor theme="8" tint="0.79998168889431442"/>
  </sheetPr>
  <dimension ref="A1:D36"/>
  <sheetViews>
    <sheetView topLeftCell="A9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565</v>
      </c>
      <c r="C5" s="28"/>
      <c r="D5" s="29"/>
    </row>
    <row r="6" spans="1:4" x14ac:dyDescent="0.35">
      <c r="A6" s="7" t="s">
        <v>46</v>
      </c>
      <c r="B6" s="28" t="s">
        <v>20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15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0.05</v>
      </c>
      <c r="C17" s="9">
        <v>0.1</v>
      </c>
      <c r="D17" s="10">
        <v>0</v>
      </c>
    </row>
    <row r="18" spans="1:4" x14ac:dyDescent="0.35">
      <c r="A18" s="7" t="s">
        <v>63</v>
      </c>
      <c r="B18" s="9">
        <v>1.2500000000000001E-2</v>
      </c>
      <c r="C18" s="9">
        <v>2.5000000000000001E-2</v>
      </c>
      <c r="D18" s="10">
        <v>0</v>
      </c>
    </row>
    <row r="19" spans="1:4" x14ac:dyDescent="0.35">
      <c r="A19" s="7" t="s">
        <v>64</v>
      </c>
      <c r="B19" s="9">
        <v>0.16250000000000001</v>
      </c>
      <c r="C19" s="9">
        <v>0.2</v>
      </c>
      <c r="D19" s="10">
        <v>0.125</v>
      </c>
    </row>
    <row r="20" spans="1:4" x14ac:dyDescent="0.35">
      <c r="A20" s="7" t="s">
        <v>65</v>
      </c>
      <c r="B20" s="9">
        <v>6.25E-2</v>
      </c>
      <c r="C20" s="9">
        <v>0.05</v>
      </c>
      <c r="D20" s="10">
        <v>7.4999999999999997E-2</v>
      </c>
    </row>
    <row r="21" spans="1:4" x14ac:dyDescent="0.35">
      <c r="A21" s="7" t="s">
        <v>66</v>
      </c>
      <c r="B21" s="9">
        <v>2.5000000000000001E-2</v>
      </c>
      <c r="C21" s="9">
        <v>2.5000000000000001E-2</v>
      </c>
      <c r="D21" s="10">
        <v>2.5000000000000001E-2</v>
      </c>
    </row>
    <row r="22" spans="1:4" x14ac:dyDescent="0.35">
      <c r="A22" s="7" t="s">
        <v>67</v>
      </c>
      <c r="B22" s="9">
        <v>0.1</v>
      </c>
      <c r="C22" s="9">
        <v>0.1</v>
      </c>
      <c r="D22" s="10">
        <v>0.1</v>
      </c>
    </row>
    <row r="23" spans="1:4" x14ac:dyDescent="0.35">
      <c r="A23" s="7" t="s">
        <v>68</v>
      </c>
      <c r="B23" s="9">
        <v>0.125</v>
      </c>
      <c r="C23" s="9">
        <v>0.1</v>
      </c>
      <c r="D23" s="10">
        <v>0.15</v>
      </c>
    </row>
    <row r="24" spans="1:4" x14ac:dyDescent="0.35">
      <c r="A24" s="7" t="s">
        <v>69</v>
      </c>
      <c r="B24" s="9">
        <v>0.05</v>
      </c>
      <c r="C24" s="9">
        <v>0.05</v>
      </c>
      <c r="D24" s="10">
        <v>0.05</v>
      </c>
    </row>
    <row r="25" spans="1:4" x14ac:dyDescent="0.35">
      <c r="A25" s="7" t="s">
        <v>70</v>
      </c>
      <c r="B25" s="9">
        <v>2.5000000000000001E-2</v>
      </c>
      <c r="C25" s="9">
        <v>2.5000000000000001E-2</v>
      </c>
      <c r="D25" s="10">
        <v>2.5000000000000001E-2</v>
      </c>
    </row>
    <row r="26" spans="1:4" x14ac:dyDescent="0.35">
      <c r="A26" s="7" t="s">
        <v>71</v>
      </c>
      <c r="B26" s="9">
        <v>8.7499999999999994E-2</v>
      </c>
      <c r="C26" s="9">
        <v>7.4999999999999997E-2</v>
      </c>
      <c r="D26" s="10">
        <v>0.1</v>
      </c>
    </row>
    <row r="27" spans="1:4" x14ac:dyDescent="0.35">
      <c r="A27" s="7" t="s">
        <v>72</v>
      </c>
      <c r="B27" s="9">
        <v>0.1875</v>
      </c>
      <c r="C27" s="9">
        <v>0.2</v>
      </c>
      <c r="D27" s="10">
        <v>0.17499999999999999</v>
      </c>
    </row>
    <row r="28" spans="1:4" x14ac:dyDescent="0.35">
      <c r="A28" s="7" t="s">
        <v>73</v>
      </c>
      <c r="B28" s="9">
        <v>0.1125</v>
      </c>
      <c r="C28" s="9">
        <v>0.05</v>
      </c>
      <c r="D28" s="10">
        <v>0.17499999999999999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9864-63D0-41EE-9326-8D363E4363D6}">
  <sheetPr>
    <tabColor theme="8" tint="0.79998168889431442"/>
  </sheetPr>
  <dimension ref="A1:D36"/>
  <sheetViews>
    <sheetView topLeftCell="A8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610</v>
      </c>
      <c r="C5" s="28"/>
      <c r="D5" s="29"/>
    </row>
    <row r="6" spans="1:4" x14ac:dyDescent="0.35">
      <c r="A6" s="7" t="s">
        <v>46</v>
      </c>
      <c r="B6" s="28" t="s">
        <v>21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0.08</v>
      </c>
      <c r="C18" s="9">
        <v>4.7619047619047616E-2</v>
      </c>
      <c r="D18" s="10">
        <v>0.10344827586206896</v>
      </c>
    </row>
    <row r="19" spans="1:4" x14ac:dyDescent="0.35">
      <c r="A19" s="7" t="s">
        <v>64</v>
      </c>
      <c r="B19" s="9">
        <v>0.02</v>
      </c>
      <c r="C19" s="9">
        <v>4.7619047619047616E-2</v>
      </c>
      <c r="D19" s="10">
        <v>0</v>
      </c>
    </row>
    <row r="20" spans="1:4" x14ac:dyDescent="0.35">
      <c r="A20" s="7" t="s">
        <v>65</v>
      </c>
      <c r="B20" s="9">
        <v>0.04</v>
      </c>
      <c r="C20" s="9">
        <v>4.7619047619047616E-2</v>
      </c>
      <c r="D20" s="10">
        <v>3.4482758620689655E-2</v>
      </c>
    </row>
    <row r="21" spans="1:4" x14ac:dyDescent="0.35">
      <c r="A21" s="7" t="s">
        <v>66</v>
      </c>
      <c r="B21" s="9">
        <v>0.04</v>
      </c>
      <c r="C21" s="9">
        <v>9.5238095238095233E-2</v>
      </c>
      <c r="D21" s="10">
        <v>0</v>
      </c>
    </row>
    <row r="22" spans="1:4" x14ac:dyDescent="0.35">
      <c r="A22" s="7" t="s">
        <v>67</v>
      </c>
      <c r="B22" s="9">
        <v>0.08</v>
      </c>
      <c r="C22" s="9">
        <v>9.5238095238095233E-2</v>
      </c>
      <c r="D22" s="10">
        <v>6.8965517241379309E-2</v>
      </c>
    </row>
    <row r="23" spans="1:4" x14ac:dyDescent="0.35">
      <c r="A23" s="7" t="s">
        <v>68</v>
      </c>
      <c r="B23" s="9">
        <v>0.08</v>
      </c>
      <c r="C23" s="9">
        <v>4.7619047619047616E-2</v>
      </c>
      <c r="D23" s="10">
        <v>0.10344827586206896</v>
      </c>
    </row>
    <row r="24" spans="1:4" x14ac:dyDescent="0.35">
      <c r="A24" s="7" t="s">
        <v>69</v>
      </c>
      <c r="B24" s="9">
        <v>0.06</v>
      </c>
      <c r="C24" s="9">
        <v>0</v>
      </c>
      <c r="D24" s="10">
        <v>0.10344827586206896</v>
      </c>
    </row>
    <row r="25" spans="1:4" x14ac:dyDescent="0.35">
      <c r="A25" s="7" t="s">
        <v>70</v>
      </c>
      <c r="B25" s="9">
        <v>0.2</v>
      </c>
      <c r="C25" s="9">
        <v>0.19047619047619047</v>
      </c>
      <c r="D25" s="10">
        <v>0.20689655172413793</v>
      </c>
    </row>
    <row r="26" spans="1:4" x14ac:dyDescent="0.35">
      <c r="A26" s="7" t="s">
        <v>71</v>
      </c>
      <c r="B26" s="9">
        <v>0.06</v>
      </c>
      <c r="C26" s="9">
        <v>4.7619047619047616E-2</v>
      </c>
      <c r="D26" s="10">
        <v>6.8965517241379309E-2</v>
      </c>
    </row>
    <row r="27" spans="1:4" x14ac:dyDescent="0.35">
      <c r="A27" s="7" t="s">
        <v>72</v>
      </c>
      <c r="B27" s="9">
        <v>0.08</v>
      </c>
      <c r="C27" s="9">
        <v>9.5238095238095233E-2</v>
      </c>
      <c r="D27" s="10">
        <v>6.8965517241379309E-2</v>
      </c>
    </row>
    <row r="28" spans="1:4" x14ac:dyDescent="0.35">
      <c r="A28" s="7" t="s">
        <v>73</v>
      </c>
      <c r="B28" s="9">
        <v>0.1</v>
      </c>
      <c r="C28" s="9">
        <v>0.14285714285714285</v>
      </c>
      <c r="D28" s="10">
        <v>6.8965517241379309E-2</v>
      </c>
    </row>
    <row r="29" spans="1:4" x14ac:dyDescent="0.35">
      <c r="A29" s="7" t="s">
        <v>74</v>
      </c>
      <c r="B29" s="9">
        <v>0.12</v>
      </c>
      <c r="C29" s="9">
        <v>9.5238095238095233E-2</v>
      </c>
      <c r="D29" s="10">
        <v>0.13793103448275862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0.04</v>
      </c>
      <c r="C31" s="9">
        <v>4.7619047619047616E-2</v>
      </c>
      <c r="D31" s="10">
        <v>3.4482758620689655E-2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AF3F-AB0F-4CA5-9895-3356C8AC1345}">
  <sheetPr>
    <tabColor theme="8" tint="0.79998168889431442"/>
  </sheetPr>
  <dimension ref="A1:D36"/>
  <sheetViews>
    <sheetView topLeftCell="A11" zoomScaleNormal="100" workbookViewId="0">
      <selection activeCell="E33" sqref="E33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620</v>
      </c>
      <c r="C5" s="28"/>
      <c r="D5" s="29"/>
    </row>
    <row r="6" spans="1:4" x14ac:dyDescent="0.35">
      <c r="A6" s="7" t="s">
        <v>46</v>
      </c>
      <c r="B6" s="28" t="s">
        <v>22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7.6923076923076927E-2</v>
      </c>
      <c r="C16" s="9">
        <v>7.6923076923076927E-2</v>
      </c>
      <c r="D16" s="10">
        <v>7.6923076923076927E-2</v>
      </c>
    </row>
    <row r="17" spans="1:4" x14ac:dyDescent="0.35">
      <c r="A17" s="7" t="s">
        <v>62</v>
      </c>
      <c r="B17" s="9">
        <v>7.6923076923076927E-2</v>
      </c>
      <c r="C17" s="9">
        <v>7.6923076923076927E-2</v>
      </c>
      <c r="D17" s="10">
        <v>7.6923076923076927E-2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0.15384615384615385</v>
      </c>
      <c r="C20" s="9">
        <v>0.15384615384615385</v>
      </c>
      <c r="D20" s="10">
        <v>0.15384615384615385</v>
      </c>
    </row>
    <row r="21" spans="1:4" x14ac:dyDescent="0.35">
      <c r="A21" s="7" t="s">
        <v>66</v>
      </c>
      <c r="B21" s="9">
        <v>3.8461538461538464E-2</v>
      </c>
      <c r="C21" s="9">
        <v>7.6923076923076927E-2</v>
      </c>
      <c r="D21" s="10">
        <v>0</v>
      </c>
    </row>
    <row r="22" spans="1:4" x14ac:dyDescent="0.35">
      <c r="A22" s="7" t="s">
        <v>67</v>
      </c>
      <c r="B22" s="9">
        <v>0.19230769230769232</v>
      </c>
      <c r="C22" s="9">
        <v>0.15384615384615385</v>
      </c>
      <c r="D22" s="10">
        <v>0.23076923076923078</v>
      </c>
    </row>
    <row r="23" spans="1:4" x14ac:dyDescent="0.35">
      <c r="A23" s="7" t="s">
        <v>68</v>
      </c>
      <c r="B23" s="9">
        <v>0.23076923076923078</v>
      </c>
      <c r="C23" s="9">
        <v>0.23076923076923078</v>
      </c>
      <c r="D23" s="10">
        <v>0.23076923076923078</v>
      </c>
    </row>
    <row r="24" spans="1:4" x14ac:dyDescent="0.35">
      <c r="A24" s="7" t="s">
        <v>69</v>
      </c>
      <c r="B24" s="9">
        <v>0</v>
      </c>
      <c r="C24" s="9">
        <v>0</v>
      </c>
      <c r="D24" s="10">
        <v>0</v>
      </c>
    </row>
    <row r="25" spans="1:4" x14ac:dyDescent="0.35">
      <c r="A25" s="7" t="s">
        <v>70</v>
      </c>
      <c r="B25" s="9">
        <v>7.6923076923076927E-2</v>
      </c>
      <c r="C25" s="9">
        <v>7.6923076923076927E-2</v>
      </c>
      <c r="D25" s="10">
        <v>7.6923076923076927E-2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7.6923076923076927E-2</v>
      </c>
      <c r="C28" s="9">
        <v>7.6923076923076927E-2</v>
      </c>
      <c r="D28" s="10">
        <v>7.6923076923076927E-2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7.6923076923076927E-2</v>
      </c>
      <c r="C30" s="9">
        <v>7.6923076923076927E-2</v>
      </c>
      <c r="D30" s="10">
        <v>7.6923076923076927E-2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0.99999999999999978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E6C3-8F8C-4D27-BB2E-2568AB662289}">
  <sheetPr>
    <tabColor theme="8" tint="0.79998168889431442"/>
  </sheetPr>
  <dimension ref="A1:D36"/>
  <sheetViews>
    <sheetView topLeftCell="A9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630</v>
      </c>
      <c r="C5" s="28"/>
      <c r="D5" s="29"/>
    </row>
    <row r="6" spans="1:4" x14ac:dyDescent="0.35">
      <c r="A6" s="7" t="s">
        <v>46</v>
      </c>
      <c r="B6" s="28" t="s">
        <v>88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7.1428571428571425E-2</v>
      </c>
      <c r="C19" s="9">
        <v>0.14285714285714285</v>
      </c>
      <c r="D19" s="10">
        <v>0</v>
      </c>
    </row>
    <row r="20" spans="1:4" x14ac:dyDescent="0.35">
      <c r="A20" s="7" t="s">
        <v>65</v>
      </c>
      <c r="B20" s="9">
        <v>7.1428571428571425E-2</v>
      </c>
      <c r="C20" s="9">
        <v>0</v>
      </c>
      <c r="D20" s="10">
        <v>0.14285714285714285</v>
      </c>
    </row>
    <row r="21" spans="1:4" x14ac:dyDescent="0.35">
      <c r="A21" s="7" t="s">
        <v>66</v>
      </c>
      <c r="B21" s="9">
        <v>0.14285714285714285</v>
      </c>
      <c r="C21" s="9">
        <v>0.14285714285714285</v>
      </c>
      <c r="D21" s="10">
        <v>0.14285714285714285</v>
      </c>
    </row>
    <row r="22" spans="1:4" x14ac:dyDescent="0.35">
      <c r="A22" s="7" t="s">
        <v>67</v>
      </c>
      <c r="B22" s="9">
        <v>0</v>
      </c>
      <c r="C22" s="9">
        <v>0</v>
      </c>
      <c r="D22" s="10">
        <v>0</v>
      </c>
    </row>
    <row r="23" spans="1:4" x14ac:dyDescent="0.35">
      <c r="A23" s="7" t="s">
        <v>68</v>
      </c>
      <c r="B23" s="9">
        <v>0.14285714285714285</v>
      </c>
      <c r="C23" s="9">
        <v>0.14285714285714285</v>
      </c>
      <c r="D23" s="10">
        <v>0.14285714285714285</v>
      </c>
    </row>
    <row r="24" spans="1:4" x14ac:dyDescent="0.35">
      <c r="A24" s="7" t="s">
        <v>69</v>
      </c>
      <c r="B24" s="9">
        <v>0.2857142857142857</v>
      </c>
      <c r="C24" s="9">
        <v>0.2857142857142857</v>
      </c>
      <c r="D24" s="10">
        <v>0.2857142857142857</v>
      </c>
    </row>
    <row r="25" spans="1:4" x14ac:dyDescent="0.35">
      <c r="A25" s="7" t="s">
        <v>70</v>
      </c>
      <c r="B25" s="9">
        <v>0.21428571428571427</v>
      </c>
      <c r="C25" s="9">
        <v>0.2857142857142857</v>
      </c>
      <c r="D25" s="10">
        <v>0.14285714285714285</v>
      </c>
    </row>
    <row r="26" spans="1:4" x14ac:dyDescent="0.35">
      <c r="A26" s="7" t="s">
        <v>71</v>
      </c>
      <c r="B26" s="9">
        <v>7.1428571428571425E-2</v>
      </c>
      <c r="C26" s="9">
        <v>0</v>
      </c>
      <c r="D26" s="10">
        <v>0.14285714285714285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0.99999999999999989</v>
      </c>
      <c r="D36" s="14">
        <f>SUM(D12:D35)</f>
        <v>0.99999999999999978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1575-E516-4606-9D3C-92A9CFB4BFBC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640</v>
      </c>
      <c r="C5" s="28"/>
      <c r="D5" s="29"/>
    </row>
    <row r="6" spans="1:4" x14ac:dyDescent="0.35">
      <c r="A6" s="7" t="s">
        <v>46</v>
      </c>
      <c r="B6" s="28" t="s">
        <v>23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8.3333333333333329E-2</v>
      </c>
      <c r="C20" s="9">
        <v>8.3333333333333329E-2</v>
      </c>
      <c r="D20" s="10">
        <v>8.3333333333333329E-2</v>
      </c>
    </row>
    <row r="21" spans="1:4" x14ac:dyDescent="0.35">
      <c r="A21" s="7" t="s">
        <v>66</v>
      </c>
      <c r="B21" s="9">
        <v>8.3333333333333329E-2</v>
      </c>
      <c r="C21" s="9">
        <v>8.3333333333333329E-2</v>
      </c>
      <c r="D21" s="10">
        <v>8.3333333333333329E-2</v>
      </c>
    </row>
    <row r="22" spans="1:4" x14ac:dyDescent="0.35">
      <c r="A22" s="7" t="s">
        <v>67</v>
      </c>
      <c r="B22" s="9">
        <v>8.3333333333333329E-2</v>
      </c>
      <c r="C22" s="9">
        <v>8.3333333333333329E-2</v>
      </c>
      <c r="D22" s="10">
        <v>8.3333333333333329E-2</v>
      </c>
    </row>
    <row r="23" spans="1:4" x14ac:dyDescent="0.35">
      <c r="A23" s="7" t="s">
        <v>68</v>
      </c>
      <c r="B23" s="9">
        <v>0.25</v>
      </c>
      <c r="C23" s="9">
        <v>0.25</v>
      </c>
      <c r="D23" s="10">
        <v>0.25</v>
      </c>
    </row>
    <row r="24" spans="1:4" x14ac:dyDescent="0.35">
      <c r="A24" s="7" t="s">
        <v>69</v>
      </c>
      <c r="B24" s="9">
        <v>8.3333333333333329E-2</v>
      </c>
      <c r="C24" s="9">
        <v>8.3333333333333329E-2</v>
      </c>
      <c r="D24" s="10">
        <v>8.3333333333333329E-2</v>
      </c>
    </row>
    <row r="25" spans="1:4" x14ac:dyDescent="0.35">
      <c r="A25" s="7" t="s">
        <v>70</v>
      </c>
      <c r="B25" s="9">
        <v>8.3333333333333329E-2</v>
      </c>
      <c r="C25" s="9">
        <v>8.3333333333333329E-2</v>
      </c>
      <c r="D25" s="10">
        <v>8.3333333333333329E-2</v>
      </c>
    </row>
    <row r="26" spans="1:4" x14ac:dyDescent="0.35">
      <c r="A26" s="7" t="s">
        <v>71</v>
      </c>
      <c r="B26" s="9">
        <v>0.16666666666666666</v>
      </c>
      <c r="C26" s="9">
        <v>0.16666666666666666</v>
      </c>
      <c r="D26" s="10">
        <v>0.16666666666666666</v>
      </c>
    </row>
    <row r="27" spans="1:4" x14ac:dyDescent="0.35">
      <c r="A27" s="7" t="s">
        <v>72</v>
      </c>
      <c r="B27" s="9">
        <v>0.16666666666666666</v>
      </c>
      <c r="C27" s="9">
        <v>0.16666666666666666</v>
      </c>
      <c r="D27" s="10">
        <v>0.16666666666666666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42E3-396F-44A1-8844-A10FA2A43D67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710</v>
      </c>
      <c r="C5" s="28"/>
      <c r="D5" s="29"/>
    </row>
    <row r="6" spans="1:4" x14ac:dyDescent="0.35">
      <c r="A6" s="7" t="s">
        <v>46</v>
      </c>
      <c r="B6" s="28" t="s">
        <v>24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5.7692307692307696E-2</v>
      </c>
      <c r="C19" s="9">
        <v>0.11538461538461539</v>
      </c>
      <c r="D19" s="10">
        <v>0</v>
      </c>
    </row>
    <row r="20" spans="1:4" x14ac:dyDescent="0.35">
      <c r="A20" s="7" t="s">
        <v>65</v>
      </c>
      <c r="B20" s="9">
        <v>3.8461538461538464E-2</v>
      </c>
      <c r="C20" s="9">
        <v>7.6923076923076927E-2</v>
      </c>
      <c r="D20" s="10">
        <v>0</v>
      </c>
    </row>
    <row r="21" spans="1:4" x14ac:dyDescent="0.35">
      <c r="A21" s="7" t="s">
        <v>66</v>
      </c>
      <c r="B21" s="9">
        <v>3.8461538461538464E-2</v>
      </c>
      <c r="C21" s="9">
        <v>3.8461538461538464E-2</v>
      </c>
      <c r="D21" s="10">
        <v>3.8461538461538464E-2</v>
      </c>
    </row>
    <row r="22" spans="1:4" x14ac:dyDescent="0.35">
      <c r="A22" s="7" t="s">
        <v>67</v>
      </c>
      <c r="B22" s="9">
        <v>0.13461538461538461</v>
      </c>
      <c r="C22" s="9">
        <v>0.15384615384615385</v>
      </c>
      <c r="D22" s="10">
        <v>0.11538461538461539</v>
      </c>
    </row>
    <row r="23" spans="1:4" x14ac:dyDescent="0.35">
      <c r="A23" s="7" t="s">
        <v>68</v>
      </c>
      <c r="B23" s="9">
        <v>0.19230769230769232</v>
      </c>
      <c r="C23" s="9">
        <v>0.11538461538461539</v>
      </c>
      <c r="D23" s="10">
        <v>0.26923076923076922</v>
      </c>
    </row>
    <row r="24" spans="1:4" x14ac:dyDescent="0.35">
      <c r="A24" s="7" t="s">
        <v>69</v>
      </c>
      <c r="B24" s="9">
        <v>0.17307692307692307</v>
      </c>
      <c r="C24" s="9">
        <v>0.19230769230769232</v>
      </c>
      <c r="D24" s="10">
        <v>0.15384615384615385</v>
      </c>
    </row>
    <row r="25" spans="1:4" x14ac:dyDescent="0.35">
      <c r="A25" s="7" t="s">
        <v>70</v>
      </c>
      <c r="B25" s="9">
        <v>7.6923076923076927E-2</v>
      </c>
      <c r="C25" s="9">
        <v>7.6923076923076927E-2</v>
      </c>
      <c r="D25" s="10">
        <v>7.6923076923076927E-2</v>
      </c>
    </row>
    <row r="26" spans="1:4" x14ac:dyDescent="0.35">
      <c r="A26" s="7" t="s">
        <v>71</v>
      </c>
      <c r="B26" s="9">
        <v>0.17307692307692307</v>
      </c>
      <c r="C26" s="9">
        <v>0.15384615384615385</v>
      </c>
      <c r="D26" s="10">
        <v>0.19230769230769232</v>
      </c>
    </row>
    <row r="27" spans="1:4" x14ac:dyDescent="0.35">
      <c r="A27" s="7" t="s">
        <v>72</v>
      </c>
      <c r="B27" s="9">
        <v>5.7692307692307696E-2</v>
      </c>
      <c r="C27" s="9">
        <v>3.8461538461538464E-2</v>
      </c>
      <c r="D27" s="10">
        <v>7.6923076923076927E-2</v>
      </c>
    </row>
    <row r="28" spans="1:4" x14ac:dyDescent="0.35">
      <c r="A28" s="7" t="s">
        <v>73</v>
      </c>
      <c r="B28" s="9">
        <v>3.8461538461538464E-2</v>
      </c>
      <c r="C28" s="9">
        <v>3.8461538461538464E-2</v>
      </c>
      <c r="D28" s="10">
        <v>3.8461538461538464E-2</v>
      </c>
    </row>
    <row r="29" spans="1:4" x14ac:dyDescent="0.35">
      <c r="A29" s="7" t="s">
        <v>74</v>
      </c>
      <c r="B29" s="9">
        <v>1.9230769230769232E-2</v>
      </c>
      <c r="C29" s="9">
        <v>0</v>
      </c>
      <c r="D29" s="10">
        <v>3.8461538461538464E-2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0.99999999999999978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BA36-6757-4145-BFD7-43BB294BA024}">
  <sheetPr>
    <tabColor theme="8" tint="0.79998168889431442"/>
  </sheetPr>
  <dimension ref="A1:D36"/>
  <sheetViews>
    <sheetView topLeftCell="A8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712</v>
      </c>
      <c r="C5" s="28"/>
      <c r="D5" s="29"/>
    </row>
    <row r="6" spans="1:4" x14ac:dyDescent="0.35">
      <c r="A6" s="7" t="s">
        <v>46</v>
      </c>
      <c r="B6" s="28" t="s">
        <v>25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20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8.3333333333333329E-2</v>
      </c>
      <c r="C20" s="9">
        <v>8.3333333333333329E-2</v>
      </c>
      <c r="D20" s="10">
        <v>8.3333333333333329E-2</v>
      </c>
    </row>
    <row r="21" spans="1:4" x14ac:dyDescent="0.35">
      <c r="A21" s="7" t="s">
        <v>66</v>
      </c>
      <c r="B21" s="9">
        <v>0.16666666666666666</v>
      </c>
      <c r="C21" s="9">
        <v>0.16666666666666666</v>
      </c>
      <c r="D21" s="10">
        <v>0.16666666666666666</v>
      </c>
    </row>
    <row r="22" spans="1:4" x14ac:dyDescent="0.35">
      <c r="A22" s="7" t="s">
        <v>67</v>
      </c>
      <c r="B22" s="9">
        <v>0.16666666666666666</v>
      </c>
      <c r="C22" s="9">
        <v>0.16666666666666666</v>
      </c>
      <c r="D22" s="10">
        <v>0.16666666666666666</v>
      </c>
    </row>
    <row r="23" spans="1:4" x14ac:dyDescent="0.35">
      <c r="A23" s="7" t="s">
        <v>68</v>
      </c>
      <c r="B23" s="9">
        <v>0.25</v>
      </c>
      <c r="C23" s="9">
        <v>0.25</v>
      </c>
      <c r="D23" s="10">
        <v>0.25</v>
      </c>
    </row>
    <row r="24" spans="1:4" x14ac:dyDescent="0.35">
      <c r="A24" s="7" t="s">
        <v>69</v>
      </c>
      <c r="B24" s="9">
        <v>0.25</v>
      </c>
      <c r="C24" s="9">
        <v>0.25</v>
      </c>
      <c r="D24" s="10">
        <v>0.25</v>
      </c>
    </row>
    <row r="25" spans="1:4" x14ac:dyDescent="0.35">
      <c r="A25" s="7" t="s">
        <v>70</v>
      </c>
      <c r="B25" s="9">
        <v>0</v>
      </c>
      <c r="C25" s="9">
        <v>0</v>
      </c>
      <c r="D25" s="10">
        <v>0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8.3333333333333329E-2</v>
      </c>
      <c r="C27" s="9">
        <v>8.3333333333333329E-2</v>
      </c>
      <c r="D27" s="10">
        <v>8.3333333333333329E-2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20FC-F286-4E03-8289-3C9B6DE4EC8A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43"/>
      <c r="B2" s="44"/>
      <c r="C2" s="44"/>
      <c r="D2" s="45"/>
    </row>
    <row r="3" spans="1:4" x14ac:dyDescent="0.35">
      <c r="A3" s="39" t="s">
        <v>90</v>
      </c>
      <c r="B3" s="40"/>
      <c r="C3" s="40"/>
      <c r="D3" s="41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720</v>
      </c>
      <c r="C5" s="28"/>
      <c r="D5" s="29"/>
    </row>
    <row r="6" spans="1:4" x14ac:dyDescent="0.35">
      <c r="A6" s="7" t="s">
        <v>46</v>
      </c>
      <c r="B6" s="28" t="s">
        <v>26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16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3.2258064516129031E-2</v>
      </c>
      <c r="C20" s="9">
        <v>3.2258064516129031E-2</v>
      </c>
      <c r="D20" s="10">
        <v>3.2258064516129031E-2</v>
      </c>
    </row>
    <row r="21" spans="1:4" x14ac:dyDescent="0.35">
      <c r="A21" s="7" t="s">
        <v>66</v>
      </c>
      <c r="B21" s="9">
        <v>0.17741935483870969</v>
      </c>
      <c r="C21" s="9">
        <v>0.22580645161290322</v>
      </c>
      <c r="D21" s="10">
        <v>0.12903225806451613</v>
      </c>
    </row>
    <row r="22" spans="1:4" x14ac:dyDescent="0.35">
      <c r="A22" s="7" t="s">
        <v>67</v>
      </c>
      <c r="B22" s="9">
        <v>0.27419354838709675</v>
      </c>
      <c r="C22" s="9">
        <v>0.22580645161290322</v>
      </c>
      <c r="D22" s="10">
        <v>0.32258064516129031</v>
      </c>
    </row>
    <row r="23" spans="1:4" x14ac:dyDescent="0.35">
      <c r="A23" s="7" t="s">
        <v>68</v>
      </c>
      <c r="B23" s="9">
        <v>0.20967741935483872</v>
      </c>
      <c r="C23" s="9">
        <v>0.22580645161290322</v>
      </c>
      <c r="D23" s="10">
        <v>0.19354838709677419</v>
      </c>
    </row>
    <row r="24" spans="1:4" x14ac:dyDescent="0.35">
      <c r="A24" s="7" t="s">
        <v>69</v>
      </c>
      <c r="B24" s="9">
        <v>1.6129032258064516E-2</v>
      </c>
      <c r="C24" s="9">
        <v>0</v>
      </c>
      <c r="D24" s="10">
        <v>3.2258064516129031E-2</v>
      </c>
    </row>
    <row r="25" spans="1:4" x14ac:dyDescent="0.35">
      <c r="A25" s="7" t="s">
        <v>70</v>
      </c>
      <c r="B25" s="9">
        <v>0.12903225806451613</v>
      </c>
      <c r="C25" s="9">
        <v>0.12903225806451613</v>
      </c>
      <c r="D25" s="10">
        <v>0.12903225806451613</v>
      </c>
    </row>
    <row r="26" spans="1:4" x14ac:dyDescent="0.35">
      <c r="A26" s="7" t="s">
        <v>71</v>
      </c>
      <c r="B26" s="9">
        <v>3.2258064516129031E-2</v>
      </c>
      <c r="C26" s="9">
        <v>3.2258064516129031E-2</v>
      </c>
      <c r="D26" s="10">
        <v>3.2258064516129031E-2</v>
      </c>
    </row>
    <row r="27" spans="1:4" x14ac:dyDescent="0.35">
      <c r="A27" s="7" t="s">
        <v>72</v>
      </c>
      <c r="B27" s="9">
        <v>0.12903225806451613</v>
      </c>
      <c r="C27" s="9">
        <v>0.12903225806451613</v>
      </c>
      <c r="D27" s="10">
        <v>0.12903225806451613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C958-7808-4BDC-A472-95B6BEF35A2C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730</v>
      </c>
      <c r="C5" s="28"/>
      <c r="D5" s="29"/>
    </row>
    <row r="6" spans="1:4" x14ac:dyDescent="0.35">
      <c r="A6" s="7" t="s">
        <v>46</v>
      </c>
      <c r="B6" s="28" t="s">
        <v>27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7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9.375E-2</v>
      </c>
      <c r="C20" s="9">
        <v>0.125</v>
      </c>
      <c r="D20" s="10">
        <v>6.25E-2</v>
      </c>
    </row>
    <row r="21" spans="1:4" x14ac:dyDescent="0.35">
      <c r="A21" s="7" t="s">
        <v>66</v>
      </c>
      <c r="B21" s="9">
        <v>0</v>
      </c>
      <c r="C21" s="9">
        <v>0</v>
      </c>
      <c r="D21" s="10">
        <v>0</v>
      </c>
    </row>
    <row r="22" spans="1:4" x14ac:dyDescent="0.35">
      <c r="A22" s="7" t="s">
        <v>67</v>
      </c>
      <c r="B22" s="9">
        <v>0.1875</v>
      </c>
      <c r="C22" s="9">
        <v>0.1875</v>
      </c>
      <c r="D22" s="10">
        <v>0.1875</v>
      </c>
    </row>
    <row r="23" spans="1:4" x14ac:dyDescent="0.35">
      <c r="A23" s="7" t="s">
        <v>68</v>
      </c>
      <c r="B23" s="9">
        <v>0.28125</v>
      </c>
      <c r="C23" s="9">
        <v>0.25</v>
      </c>
      <c r="D23" s="10">
        <v>0.3125</v>
      </c>
    </row>
    <row r="24" spans="1:4" x14ac:dyDescent="0.35">
      <c r="A24" s="7" t="s">
        <v>69</v>
      </c>
      <c r="B24" s="9">
        <v>6.25E-2</v>
      </c>
      <c r="C24" s="9">
        <v>6.25E-2</v>
      </c>
      <c r="D24" s="10">
        <v>6.25E-2</v>
      </c>
    </row>
    <row r="25" spans="1:4" x14ac:dyDescent="0.35">
      <c r="A25" s="7" t="s">
        <v>70</v>
      </c>
      <c r="B25" s="9">
        <v>0.21875</v>
      </c>
      <c r="C25" s="9">
        <v>0.25</v>
      </c>
      <c r="D25" s="10">
        <v>0.1875</v>
      </c>
    </row>
    <row r="26" spans="1:4" x14ac:dyDescent="0.35">
      <c r="A26" s="7" t="s">
        <v>71</v>
      </c>
      <c r="B26" s="9">
        <v>6.25E-2</v>
      </c>
      <c r="C26" s="9">
        <v>6.25E-2</v>
      </c>
      <c r="D26" s="10">
        <v>6.25E-2</v>
      </c>
    </row>
    <row r="27" spans="1:4" x14ac:dyDescent="0.35">
      <c r="A27" s="7" t="s">
        <v>72</v>
      </c>
      <c r="B27" s="9">
        <v>3.125E-2</v>
      </c>
      <c r="C27" s="9">
        <v>0</v>
      </c>
      <c r="D27" s="10">
        <v>6.25E-2</v>
      </c>
    </row>
    <row r="28" spans="1:4" x14ac:dyDescent="0.35">
      <c r="A28" s="7" t="s">
        <v>73</v>
      </c>
      <c r="B28" s="9">
        <v>6.25E-2</v>
      </c>
      <c r="C28" s="9">
        <v>6.25E-2</v>
      </c>
      <c r="D28" s="10">
        <v>6.25E-2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C9E8-570F-4085-A170-620DCE1E8C8B}">
  <sheetPr>
    <tabColor theme="8" tint="0.79998168889431442"/>
  </sheetPr>
  <dimension ref="A1:D36"/>
  <sheetViews>
    <sheetView topLeftCell="A3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812</v>
      </c>
      <c r="C5" s="28"/>
      <c r="D5" s="29"/>
    </row>
    <row r="6" spans="1:4" x14ac:dyDescent="0.35">
      <c r="A6" s="7" t="s">
        <v>46</v>
      </c>
      <c r="B6" s="28" t="s">
        <v>28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8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4.3478260869565216E-2</v>
      </c>
      <c r="C20" s="9">
        <v>4.3478260869565216E-2</v>
      </c>
      <c r="D20" s="10">
        <v>4.3478260869565216E-2</v>
      </c>
    </row>
    <row r="21" spans="1:4" x14ac:dyDescent="0.35">
      <c r="A21" s="7" t="s">
        <v>66</v>
      </c>
      <c r="B21" s="9">
        <v>0.17391304347826086</v>
      </c>
      <c r="C21" s="9">
        <v>0.21739130434782608</v>
      </c>
      <c r="D21" s="10">
        <v>0.13043478260869565</v>
      </c>
    </row>
    <row r="22" spans="1:4" x14ac:dyDescent="0.35">
      <c r="A22" s="7" t="s">
        <v>67</v>
      </c>
      <c r="B22" s="9">
        <v>0.2608695652173913</v>
      </c>
      <c r="C22" s="9">
        <v>0.21739130434782608</v>
      </c>
      <c r="D22" s="10">
        <v>0.30434782608695654</v>
      </c>
    </row>
    <row r="23" spans="1:4" x14ac:dyDescent="0.35">
      <c r="A23" s="7" t="s">
        <v>68</v>
      </c>
      <c r="B23" s="9">
        <v>4.3478260869565216E-2</v>
      </c>
      <c r="C23" s="9">
        <v>4.3478260869565216E-2</v>
      </c>
      <c r="D23" s="10">
        <v>4.3478260869565216E-2</v>
      </c>
    </row>
    <row r="24" spans="1:4" x14ac:dyDescent="0.35">
      <c r="A24" s="7" t="s">
        <v>69</v>
      </c>
      <c r="B24" s="9">
        <v>0.15217391304347827</v>
      </c>
      <c r="C24" s="9">
        <v>0.17391304347826086</v>
      </c>
      <c r="D24" s="10">
        <v>0.13043478260869565</v>
      </c>
    </row>
    <row r="25" spans="1:4" x14ac:dyDescent="0.35">
      <c r="A25" s="7" t="s">
        <v>70</v>
      </c>
      <c r="B25" s="9">
        <v>4.3478260869565216E-2</v>
      </c>
      <c r="C25" s="9">
        <v>4.3478260869565216E-2</v>
      </c>
      <c r="D25" s="10">
        <v>4.3478260869565216E-2</v>
      </c>
    </row>
    <row r="26" spans="1:4" x14ac:dyDescent="0.35">
      <c r="A26" s="7" t="s">
        <v>71</v>
      </c>
      <c r="B26" s="9">
        <v>0.21739130434782608</v>
      </c>
      <c r="C26" s="9">
        <v>0.21739130434782608</v>
      </c>
      <c r="D26" s="10">
        <v>0.21739130434782608</v>
      </c>
    </row>
    <row r="27" spans="1:4" x14ac:dyDescent="0.35">
      <c r="A27" s="7" t="s">
        <v>72</v>
      </c>
      <c r="B27" s="9">
        <v>2.1739130434782608E-2</v>
      </c>
      <c r="C27" s="9">
        <v>0</v>
      </c>
      <c r="D27" s="10">
        <v>4.3478260869565216E-2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4.3478260869565216E-2</v>
      </c>
      <c r="C31" s="9">
        <v>4.3478260869565216E-2</v>
      </c>
      <c r="D31" s="10">
        <v>4.3478260869565216E-2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0.99999999999999989</v>
      </c>
      <c r="D36" s="14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8DFA-7A67-4A9C-8C0C-D529186C47B6}">
  <sheetPr>
    <tabColor theme="8" tint="0.79998168889431442"/>
  </sheetPr>
  <dimension ref="A1:D36"/>
  <sheetViews>
    <sheetView topLeftCell="A10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814</v>
      </c>
      <c r="C5" s="28"/>
      <c r="D5" s="29"/>
    </row>
    <row r="6" spans="1:4" x14ac:dyDescent="0.35">
      <c r="A6" s="7" t="s">
        <v>46</v>
      </c>
      <c r="B6" s="28" t="s">
        <v>29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9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0.04</v>
      </c>
      <c r="C19" s="9">
        <v>0.04</v>
      </c>
      <c r="D19" s="10">
        <v>0.04</v>
      </c>
    </row>
    <row r="20" spans="1:4" x14ac:dyDescent="0.35">
      <c r="A20" s="7" t="s">
        <v>65</v>
      </c>
      <c r="B20" s="9">
        <v>0.2</v>
      </c>
      <c r="C20" s="9">
        <v>0.2</v>
      </c>
      <c r="D20" s="10">
        <v>0.2</v>
      </c>
    </row>
    <row r="21" spans="1:4" x14ac:dyDescent="0.35">
      <c r="A21" s="7" t="s">
        <v>66</v>
      </c>
      <c r="B21" s="9">
        <v>0</v>
      </c>
      <c r="C21" s="9">
        <v>0</v>
      </c>
      <c r="D21" s="10">
        <v>0</v>
      </c>
    </row>
    <row r="22" spans="1:4" x14ac:dyDescent="0.35">
      <c r="A22" s="7" t="s">
        <v>67</v>
      </c>
      <c r="B22" s="9">
        <v>0.14000000000000001</v>
      </c>
      <c r="C22" s="9">
        <v>0.16</v>
      </c>
      <c r="D22" s="10">
        <v>0.12</v>
      </c>
    </row>
    <row r="23" spans="1:4" x14ac:dyDescent="0.35">
      <c r="A23" s="7" t="s">
        <v>68</v>
      </c>
      <c r="B23" s="9">
        <v>0.22</v>
      </c>
      <c r="C23" s="9">
        <v>0.2</v>
      </c>
      <c r="D23" s="10">
        <v>0.24</v>
      </c>
    </row>
    <row r="24" spans="1:4" x14ac:dyDescent="0.35">
      <c r="A24" s="7" t="s">
        <v>69</v>
      </c>
      <c r="B24" s="9">
        <v>0.08</v>
      </c>
      <c r="C24" s="9">
        <v>0.08</v>
      </c>
      <c r="D24" s="10">
        <v>0.08</v>
      </c>
    </row>
    <row r="25" spans="1:4" x14ac:dyDescent="0.35">
      <c r="A25" s="7" t="s">
        <v>70</v>
      </c>
      <c r="B25" s="9">
        <v>0.1</v>
      </c>
      <c r="C25" s="9">
        <v>0.12</v>
      </c>
      <c r="D25" s="10">
        <v>0.08</v>
      </c>
    </row>
    <row r="26" spans="1:4" x14ac:dyDescent="0.35">
      <c r="A26" s="7" t="s">
        <v>71</v>
      </c>
      <c r="B26" s="9">
        <v>0.02</v>
      </c>
      <c r="C26" s="9">
        <v>0</v>
      </c>
      <c r="D26" s="10">
        <v>0.04</v>
      </c>
    </row>
    <row r="27" spans="1:4" x14ac:dyDescent="0.35">
      <c r="A27" s="7" t="s">
        <v>72</v>
      </c>
      <c r="B27" s="9">
        <v>0.08</v>
      </c>
      <c r="C27" s="9">
        <v>0.08</v>
      </c>
      <c r="D27" s="10">
        <v>0.08</v>
      </c>
    </row>
    <row r="28" spans="1:4" x14ac:dyDescent="0.35">
      <c r="A28" s="7" t="s">
        <v>73</v>
      </c>
      <c r="B28" s="9">
        <v>0.06</v>
      </c>
      <c r="C28" s="9">
        <v>0.08</v>
      </c>
      <c r="D28" s="10">
        <v>0.04</v>
      </c>
    </row>
    <row r="29" spans="1:4" x14ac:dyDescent="0.35">
      <c r="A29" s="7" t="s">
        <v>74</v>
      </c>
      <c r="B29" s="9">
        <v>0.04</v>
      </c>
      <c r="C29" s="9">
        <v>0.04</v>
      </c>
      <c r="D29" s="10">
        <v>0.04</v>
      </c>
    </row>
    <row r="30" spans="1:4" x14ac:dyDescent="0.35">
      <c r="A30" s="7" t="s">
        <v>75</v>
      </c>
      <c r="B30" s="9">
        <v>0.02</v>
      </c>
      <c r="C30" s="9">
        <v>0</v>
      </c>
      <c r="D30" s="10">
        <v>0.04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5784-37D7-4B10-893C-EBB9F8CCDDAF}">
  <sheetPr>
    <tabColor theme="8" tint="0.79998168889431442"/>
  </sheetPr>
  <dimension ref="A1:D36"/>
  <sheetViews>
    <sheetView topLeftCell="A3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816</v>
      </c>
      <c r="C5" s="28"/>
      <c r="D5" s="29"/>
    </row>
    <row r="6" spans="1:4" x14ac:dyDescent="0.35">
      <c r="A6" s="7" t="s">
        <v>46</v>
      </c>
      <c r="B6" s="28" t="s">
        <v>30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0.2</v>
      </c>
      <c r="C21" s="9">
        <v>0.2</v>
      </c>
      <c r="D21" s="10">
        <v>0.2</v>
      </c>
    </row>
    <row r="22" spans="1:4" x14ac:dyDescent="0.35">
      <c r="A22" s="7" t="s">
        <v>67</v>
      </c>
      <c r="B22" s="9">
        <v>0</v>
      </c>
      <c r="C22" s="9">
        <v>0</v>
      </c>
      <c r="D22" s="10">
        <v>0</v>
      </c>
    </row>
    <row r="23" spans="1:4" x14ac:dyDescent="0.35">
      <c r="A23" s="7" t="s">
        <v>68</v>
      </c>
      <c r="B23" s="9">
        <v>0</v>
      </c>
      <c r="C23" s="9">
        <v>0</v>
      </c>
      <c r="D23" s="10">
        <v>0</v>
      </c>
    </row>
    <row r="24" spans="1:4" x14ac:dyDescent="0.35">
      <c r="A24" s="7" t="s">
        <v>69</v>
      </c>
      <c r="B24" s="9">
        <v>0.5</v>
      </c>
      <c r="C24" s="9">
        <v>0.6</v>
      </c>
      <c r="D24" s="10">
        <v>0.4</v>
      </c>
    </row>
    <row r="25" spans="1:4" x14ac:dyDescent="0.35">
      <c r="A25" s="7" t="s">
        <v>70</v>
      </c>
      <c r="B25" s="9">
        <v>0.3</v>
      </c>
      <c r="C25" s="9">
        <v>0.2</v>
      </c>
      <c r="D25" s="10">
        <v>0.4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46A8-20EB-4822-A458-B94DF65E528E}">
  <sheetPr>
    <tabColor theme="8" tint="0.79998168889431442"/>
  </sheetPr>
  <dimension ref="A1:D36"/>
  <sheetViews>
    <sheetView topLeftCell="A2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46" t="s">
        <v>90</v>
      </c>
      <c r="B3" s="47"/>
      <c r="C3" s="47"/>
      <c r="D3" s="48"/>
    </row>
    <row r="4" spans="1:4" x14ac:dyDescent="0.35">
      <c r="A4" s="49"/>
      <c r="B4" s="50"/>
      <c r="C4" s="50"/>
      <c r="D4" s="51"/>
    </row>
    <row r="5" spans="1:4" x14ac:dyDescent="0.35">
      <c r="A5" s="6" t="s">
        <v>45</v>
      </c>
      <c r="B5" s="28">
        <v>820</v>
      </c>
      <c r="C5" s="28"/>
      <c r="D5" s="29"/>
    </row>
    <row r="6" spans="1:4" x14ac:dyDescent="0.35">
      <c r="A6" s="7" t="s">
        <v>46</v>
      </c>
      <c r="B6" s="28" t="s">
        <v>31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4.3478260869565216E-2</v>
      </c>
      <c r="C19" s="9">
        <v>4.4444444444444446E-2</v>
      </c>
      <c r="D19" s="10">
        <v>4.2553191489361701E-2</v>
      </c>
    </row>
    <row r="20" spans="1:4" x14ac:dyDescent="0.35">
      <c r="A20" s="7" t="s">
        <v>65</v>
      </c>
      <c r="B20" s="9">
        <v>3.8043478260869568E-2</v>
      </c>
      <c r="C20" s="9">
        <v>3.3333333333333333E-2</v>
      </c>
      <c r="D20" s="10">
        <v>4.2553191489361701E-2</v>
      </c>
    </row>
    <row r="21" spans="1:4" x14ac:dyDescent="0.35">
      <c r="A21" s="7" t="s">
        <v>66</v>
      </c>
      <c r="B21" s="9">
        <v>8.1521739130434784E-2</v>
      </c>
      <c r="C21" s="9">
        <v>7.7777777777777779E-2</v>
      </c>
      <c r="D21" s="10">
        <v>8.5106382978723402E-2</v>
      </c>
    </row>
    <row r="22" spans="1:4" x14ac:dyDescent="0.35">
      <c r="A22" s="7" t="s">
        <v>67</v>
      </c>
      <c r="B22" s="9">
        <v>0.20108695652173914</v>
      </c>
      <c r="C22" s="9">
        <v>0.21111111111111111</v>
      </c>
      <c r="D22" s="10">
        <v>0.19148936170212766</v>
      </c>
    </row>
    <row r="23" spans="1:4" x14ac:dyDescent="0.35">
      <c r="A23" s="7" t="s">
        <v>68</v>
      </c>
      <c r="B23" s="9">
        <v>9.7826086956521743E-2</v>
      </c>
      <c r="C23" s="9">
        <v>0.1111111111111111</v>
      </c>
      <c r="D23" s="10">
        <v>8.5106382978723402E-2</v>
      </c>
    </row>
    <row r="24" spans="1:4" x14ac:dyDescent="0.35">
      <c r="A24" s="7" t="s">
        <v>69</v>
      </c>
      <c r="B24" s="9">
        <v>0.11956521739130435</v>
      </c>
      <c r="C24" s="9">
        <v>0.12222222222222222</v>
      </c>
      <c r="D24" s="10">
        <v>0.11702127659574468</v>
      </c>
    </row>
    <row r="25" spans="1:4" x14ac:dyDescent="0.35">
      <c r="A25" s="7" t="s">
        <v>70</v>
      </c>
      <c r="B25" s="9">
        <v>9.7826086956521743E-2</v>
      </c>
      <c r="C25" s="9">
        <v>0.1</v>
      </c>
      <c r="D25" s="10">
        <v>9.5744680851063829E-2</v>
      </c>
    </row>
    <row r="26" spans="1:4" x14ac:dyDescent="0.35">
      <c r="A26" s="7" t="s">
        <v>71</v>
      </c>
      <c r="B26" s="9">
        <v>7.0652173913043473E-2</v>
      </c>
      <c r="C26" s="9">
        <v>7.7777777777777779E-2</v>
      </c>
      <c r="D26" s="10">
        <v>6.3829787234042548E-2</v>
      </c>
    </row>
    <row r="27" spans="1:4" x14ac:dyDescent="0.35">
      <c r="A27" s="7" t="s">
        <v>72</v>
      </c>
      <c r="B27" s="9">
        <v>8.1521739130434784E-2</v>
      </c>
      <c r="C27" s="9">
        <v>5.5555555555555552E-2</v>
      </c>
      <c r="D27" s="10">
        <v>0.10638297872340426</v>
      </c>
    </row>
    <row r="28" spans="1:4" x14ac:dyDescent="0.35">
      <c r="A28" s="7" t="s">
        <v>73</v>
      </c>
      <c r="B28" s="9">
        <v>3.2608695652173912E-2</v>
      </c>
      <c r="C28" s="9">
        <v>2.2222222222222223E-2</v>
      </c>
      <c r="D28" s="10">
        <v>4.2553191489361701E-2</v>
      </c>
    </row>
    <row r="29" spans="1:4" x14ac:dyDescent="0.35">
      <c r="A29" s="7" t="s">
        <v>74</v>
      </c>
      <c r="B29" s="9">
        <v>3.8043478260869568E-2</v>
      </c>
      <c r="C29" s="9">
        <v>6.6666666666666666E-2</v>
      </c>
      <c r="D29" s="10">
        <v>1.0638297872340425E-2</v>
      </c>
    </row>
    <row r="30" spans="1:4" x14ac:dyDescent="0.35">
      <c r="A30" s="7" t="s">
        <v>75</v>
      </c>
      <c r="B30" s="9">
        <v>3.2608695652173912E-2</v>
      </c>
      <c r="C30" s="9">
        <v>2.2222222222222223E-2</v>
      </c>
      <c r="D30" s="10">
        <v>4.2553191489361701E-2</v>
      </c>
    </row>
    <row r="31" spans="1:4" x14ac:dyDescent="0.35">
      <c r="A31" s="7" t="s">
        <v>76</v>
      </c>
      <c r="B31" s="9">
        <v>1.0869565217391304E-2</v>
      </c>
      <c r="C31" s="9">
        <v>1.1111111111111112E-2</v>
      </c>
      <c r="D31" s="10">
        <v>1.0638297872340425E-2</v>
      </c>
    </row>
    <row r="32" spans="1:4" x14ac:dyDescent="0.35">
      <c r="A32" s="7" t="s">
        <v>77</v>
      </c>
      <c r="B32" s="9">
        <v>2.717391304347826E-2</v>
      </c>
      <c r="C32" s="9">
        <v>2.2222222222222223E-2</v>
      </c>
      <c r="D32" s="10">
        <v>3.1914893617021274E-2</v>
      </c>
    </row>
    <row r="33" spans="1:4" x14ac:dyDescent="0.35">
      <c r="A33" s="7" t="s">
        <v>78</v>
      </c>
      <c r="B33" s="9">
        <v>2.717391304347826E-2</v>
      </c>
      <c r="C33" s="9">
        <v>2.2222222222222223E-2</v>
      </c>
      <c r="D33" s="10">
        <v>3.1914893617021274E-2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0.99999999999999978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722D-68D6-49CE-B74A-74355CAB6889}">
  <sheetPr>
    <tabColor theme="8" tint="0.79998168889431442"/>
  </sheetPr>
  <dimension ref="A1:D36"/>
  <sheetViews>
    <sheetView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840</v>
      </c>
      <c r="C5" s="28"/>
      <c r="D5" s="29"/>
    </row>
    <row r="6" spans="1:4" x14ac:dyDescent="0.35">
      <c r="A6" s="7" t="s">
        <v>46</v>
      </c>
      <c r="B6" s="28" t="s">
        <v>82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3.4482758620689655E-2</v>
      </c>
      <c r="C18" s="9">
        <v>3.4482758620689655E-2</v>
      </c>
      <c r="D18" s="10">
        <v>3.4482758620689655E-2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1.7241379310344827E-2</v>
      </c>
      <c r="C20" s="9">
        <v>3.4482758620689655E-2</v>
      </c>
      <c r="D20" s="10">
        <v>0</v>
      </c>
    </row>
    <row r="21" spans="1:4" x14ac:dyDescent="0.35">
      <c r="A21" s="7" t="s">
        <v>66</v>
      </c>
      <c r="B21" s="9">
        <v>0.15517241379310345</v>
      </c>
      <c r="C21" s="9">
        <v>0.17241379310344829</v>
      </c>
      <c r="D21" s="10">
        <v>0.13793103448275862</v>
      </c>
    </row>
    <row r="22" spans="1:4" x14ac:dyDescent="0.35">
      <c r="A22" s="7" t="s">
        <v>67</v>
      </c>
      <c r="B22" s="9">
        <v>0.18965517241379309</v>
      </c>
      <c r="C22" s="9">
        <v>0.17241379310344829</v>
      </c>
      <c r="D22" s="10">
        <v>0.20689655172413793</v>
      </c>
    </row>
    <row r="23" spans="1:4" x14ac:dyDescent="0.35">
      <c r="A23" s="7" t="s">
        <v>68</v>
      </c>
      <c r="B23" s="9">
        <v>8.6206896551724144E-2</v>
      </c>
      <c r="C23" s="9">
        <v>6.8965517241379309E-2</v>
      </c>
      <c r="D23" s="10">
        <v>0.10344827586206896</v>
      </c>
    </row>
    <row r="24" spans="1:4" x14ac:dyDescent="0.35">
      <c r="A24" s="7" t="s">
        <v>69</v>
      </c>
      <c r="B24" s="9">
        <v>8.6206896551724144E-2</v>
      </c>
      <c r="C24" s="9">
        <v>0.10344827586206896</v>
      </c>
      <c r="D24" s="10">
        <v>6.8965517241379309E-2</v>
      </c>
    </row>
    <row r="25" spans="1:4" x14ac:dyDescent="0.35">
      <c r="A25" s="7" t="s">
        <v>70</v>
      </c>
      <c r="B25" s="9">
        <v>0.10344827586206896</v>
      </c>
      <c r="C25" s="9">
        <v>0.10344827586206896</v>
      </c>
      <c r="D25" s="10">
        <v>0.10344827586206896</v>
      </c>
    </row>
    <row r="26" spans="1:4" x14ac:dyDescent="0.35">
      <c r="A26" s="7" t="s">
        <v>71</v>
      </c>
      <c r="B26" s="9">
        <v>5.1724137931034482E-2</v>
      </c>
      <c r="C26" s="9">
        <v>3.4482758620689655E-2</v>
      </c>
      <c r="D26" s="10">
        <v>6.8965517241379309E-2</v>
      </c>
    </row>
    <row r="27" spans="1:4" x14ac:dyDescent="0.35">
      <c r="A27" s="7" t="s">
        <v>72</v>
      </c>
      <c r="B27" s="9">
        <v>6.8965517241379309E-2</v>
      </c>
      <c r="C27" s="9">
        <v>6.8965517241379309E-2</v>
      </c>
      <c r="D27" s="10">
        <v>6.8965517241379309E-2</v>
      </c>
    </row>
    <row r="28" spans="1:4" x14ac:dyDescent="0.35">
      <c r="A28" s="7" t="s">
        <v>73</v>
      </c>
      <c r="B28" s="9">
        <v>0.20689655172413793</v>
      </c>
      <c r="C28" s="9">
        <v>0.20689655172413793</v>
      </c>
      <c r="D28" s="10">
        <v>0.20689655172413793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097C-44F7-49E5-8051-FE708852D81B}">
  <sheetPr>
    <tabColor theme="8" tint="0.79998168889431442"/>
  </sheetPr>
  <dimension ref="A1:D36"/>
  <sheetViews>
    <sheetView zoomScaleNormal="100" workbookViewId="0">
      <selection activeCell="D12" sqref="D12: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841</v>
      </c>
      <c r="C5" s="28"/>
      <c r="D5" s="29"/>
    </row>
    <row r="6" spans="1:4" x14ac:dyDescent="0.35">
      <c r="A6" s="7" t="s">
        <v>46</v>
      </c>
      <c r="B6" s="28" t="s">
        <v>32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14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0.16666666666666666</v>
      </c>
      <c r="C21" s="9">
        <v>0.16666666666666666</v>
      </c>
      <c r="D21" s="10">
        <v>0.16666666666666666</v>
      </c>
    </row>
    <row r="22" spans="1:4" x14ac:dyDescent="0.35">
      <c r="A22" s="7" t="s">
        <v>67</v>
      </c>
      <c r="B22" s="9">
        <v>0.14583333333333334</v>
      </c>
      <c r="C22" s="9">
        <v>0.16666666666666666</v>
      </c>
      <c r="D22" s="10">
        <v>0.125</v>
      </c>
    </row>
    <row r="23" spans="1:4" x14ac:dyDescent="0.35">
      <c r="A23" s="7" t="s">
        <v>68</v>
      </c>
      <c r="B23" s="9">
        <v>0.33333333333333331</v>
      </c>
      <c r="C23" s="9">
        <v>0.33333333333333331</v>
      </c>
      <c r="D23" s="10">
        <v>0.33333333333333331</v>
      </c>
    </row>
    <row r="24" spans="1:4" x14ac:dyDescent="0.35">
      <c r="A24" s="7" t="s">
        <v>69</v>
      </c>
      <c r="B24" s="9">
        <v>6.25E-2</v>
      </c>
      <c r="C24" s="9">
        <v>4.1666666666666664E-2</v>
      </c>
      <c r="D24" s="10">
        <v>8.3333333333333329E-2</v>
      </c>
    </row>
    <row r="25" spans="1:4" x14ac:dyDescent="0.35">
      <c r="A25" s="7" t="s">
        <v>70</v>
      </c>
      <c r="B25" s="9">
        <v>8.3333333333333329E-2</v>
      </c>
      <c r="C25" s="9">
        <v>8.3333333333333329E-2</v>
      </c>
      <c r="D25" s="10">
        <v>8.3333333333333329E-2</v>
      </c>
    </row>
    <row r="26" spans="1:4" x14ac:dyDescent="0.35">
      <c r="A26" s="7" t="s">
        <v>71</v>
      </c>
      <c r="B26" s="9">
        <v>0.10416666666666667</v>
      </c>
      <c r="C26" s="9">
        <v>0.125</v>
      </c>
      <c r="D26" s="10">
        <v>8.3333333333333329E-2</v>
      </c>
    </row>
    <row r="27" spans="1:4" x14ac:dyDescent="0.35">
      <c r="A27" s="7" t="s">
        <v>72</v>
      </c>
      <c r="B27" s="9">
        <v>6.25E-2</v>
      </c>
      <c r="C27" s="9">
        <v>4.1666666666666664E-2</v>
      </c>
      <c r="D27" s="10">
        <v>8.3333333333333329E-2</v>
      </c>
    </row>
    <row r="28" spans="1:4" x14ac:dyDescent="0.35">
      <c r="A28" s="7" t="s">
        <v>73</v>
      </c>
      <c r="B28" s="9">
        <v>4.1666666666666664E-2</v>
      </c>
      <c r="C28" s="9">
        <v>4.1666666666666664E-2</v>
      </c>
      <c r="D28" s="10">
        <v>4.1666666666666664E-2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0.99999999999999989</v>
      </c>
      <c r="D36" s="14">
        <f>SUM(D12:D35)</f>
        <v>1.0000000000000002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0FD6-360C-48E2-902D-F894175BA7A5}">
  <sheetPr>
    <tabColor theme="8" tint="0.79998168889431442"/>
  </sheetPr>
  <dimension ref="A1:D36"/>
  <sheetViews>
    <sheetView topLeftCell="A4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842</v>
      </c>
      <c r="C5" s="28"/>
      <c r="D5" s="29"/>
    </row>
    <row r="6" spans="1:4" x14ac:dyDescent="0.35">
      <c r="A6" s="7" t="s">
        <v>46</v>
      </c>
      <c r="B6" s="28" t="s">
        <v>33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0.33333333333333331</v>
      </c>
      <c r="C21" s="9">
        <v>0.33333333333333331</v>
      </c>
      <c r="D21" s="10">
        <v>0.33333333333333331</v>
      </c>
    </row>
    <row r="22" spans="1:4" x14ac:dyDescent="0.35">
      <c r="A22" s="7" t="s">
        <v>67</v>
      </c>
      <c r="B22" s="9">
        <v>5.5555555555555552E-2</v>
      </c>
      <c r="C22" s="9">
        <v>0.1111111111111111</v>
      </c>
      <c r="D22" s="10">
        <v>0</v>
      </c>
    </row>
    <row r="23" spans="1:4" x14ac:dyDescent="0.35">
      <c r="A23" s="7" t="s">
        <v>68</v>
      </c>
      <c r="B23" s="9">
        <v>0.27777777777777779</v>
      </c>
      <c r="C23" s="9">
        <v>0.22222222222222221</v>
      </c>
      <c r="D23" s="10">
        <v>0.33333333333333331</v>
      </c>
    </row>
    <row r="24" spans="1:4" x14ac:dyDescent="0.35">
      <c r="A24" s="7" t="s">
        <v>69</v>
      </c>
      <c r="B24" s="9">
        <v>0.33333333333333331</v>
      </c>
      <c r="C24" s="9">
        <v>0.33333333333333331</v>
      </c>
      <c r="D24" s="10">
        <v>0.33333333333333331</v>
      </c>
    </row>
    <row r="25" spans="1:4" x14ac:dyDescent="0.35">
      <c r="A25" s="7" t="s">
        <v>70</v>
      </c>
      <c r="B25" s="9">
        <v>0</v>
      </c>
      <c r="C25" s="9">
        <v>0</v>
      </c>
      <c r="D25" s="10">
        <v>0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A435-D18F-4B16-B52E-0CB29D44F440}">
  <sheetPr>
    <tabColor theme="8" tint="0.79998168889431442"/>
  </sheetPr>
  <dimension ref="A1:D36"/>
  <sheetViews>
    <sheetView topLeftCell="A3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843</v>
      </c>
      <c r="C5" s="28"/>
      <c r="D5" s="29"/>
    </row>
    <row r="6" spans="1:4" x14ac:dyDescent="0.35">
      <c r="A6" s="7" t="s">
        <v>46</v>
      </c>
      <c r="B6" s="28" t="s">
        <v>34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0.33333333333333331</v>
      </c>
      <c r="C21" s="9">
        <v>0.33333333333333331</v>
      </c>
      <c r="D21" s="10">
        <v>0.33333333333333331</v>
      </c>
    </row>
    <row r="22" spans="1:4" x14ac:dyDescent="0.35">
      <c r="A22" s="7" t="s">
        <v>67</v>
      </c>
      <c r="B22" s="9">
        <v>0</v>
      </c>
      <c r="C22" s="9">
        <v>0</v>
      </c>
      <c r="D22" s="10">
        <v>0</v>
      </c>
    </row>
    <row r="23" spans="1:4" x14ac:dyDescent="0.35">
      <c r="A23" s="7" t="s">
        <v>68</v>
      </c>
      <c r="B23" s="9">
        <v>8.3333333333333329E-2</v>
      </c>
      <c r="C23" s="9">
        <v>8.3333333333333329E-2</v>
      </c>
      <c r="D23" s="10">
        <v>8.3333333333333329E-2</v>
      </c>
    </row>
    <row r="24" spans="1:4" x14ac:dyDescent="0.35">
      <c r="A24" s="7" t="s">
        <v>69</v>
      </c>
      <c r="B24" s="9">
        <v>0</v>
      </c>
      <c r="C24" s="9">
        <v>0</v>
      </c>
      <c r="D24" s="10">
        <v>0</v>
      </c>
    </row>
    <row r="25" spans="1:4" x14ac:dyDescent="0.35">
      <c r="A25" s="7" t="s">
        <v>70</v>
      </c>
      <c r="B25" s="9">
        <v>0.16666666666666666</v>
      </c>
      <c r="C25" s="9">
        <v>0.16666666666666666</v>
      </c>
      <c r="D25" s="10">
        <v>0.16666666666666666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0.33333333333333331</v>
      </c>
      <c r="C27" s="9">
        <v>0.33333333333333331</v>
      </c>
      <c r="D27" s="10">
        <v>0.33333333333333331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8.3333333333333329E-2</v>
      </c>
      <c r="C31" s="9">
        <v>8.3333333333333329E-2</v>
      </c>
      <c r="D31" s="10">
        <v>8.3333333333333329E-2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0.99999999999999989</v>
      </c>
      <c r="C36" s="14">
        <f>SUM(C12:C35)</f>
        <v>0.99999999999999989</v>
      </c>
      <c r="D36" s="14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8D3E-63EB-4835-83C4-C455B731DC64}">
  <sheetPr>
    <tabColor theme="8" tint="0.79998168889431442"/>
  </sheetPr>
  <dimension ref="A1:D36"/>
  <sheetViews>
    <sheetView topLeftCell="A3" zoomScaleNormal="100" workbookViewId="0">
      <selection activeCell="D27" sqref="D27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46" t="s">
        <v>90</v>
      </c>
      <c r="B3" s="47"/>
      <c r="C3" s="47"/>
      <c r="D3" s="48"/>
    </row>
    <row r="4" spans="1:4" x14ac:dyDescent="0.35">
      <c r="A4" s="49"/>
      <c r="B4" s="50"/>
      <c r="C4" s="50"/>
      <c r="D4" s="51"/>
    </row>
    <row r="5" spans="1:4" x14ac:dyDescent="0.35">
      <c r="A5" s="6" t="s">
        <v>45</v>
      </c>
      <c r="B5" s="28">
        <v>881</v>
      </c>
      <c r="C5" s="28"/>
      <c r="D5" s="29"/>
    </row>
    <row r="6" spans="1:4" x14ac:dyDescent="0.35">
      <c r="A6" s="7" t="s">
        <v>46</v>
      </c>
      <c r="B6" s="28" t="s">
        <v>35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4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7.407407407407407E-2</v>
      </c>
      <c r="C19" s="9">
        <v>0.1111111111111111</v>
      </c>
      <c r="D19" s="10">
        <v>3.7037037037037035E-2</v>
      </c>
    </row>
    <row r="20" spans="1:4" x14ac:dyDescent="0.35">
      <c r="A20" s="7" t="s">
        <v>65</v>
      </c>
      <c r="B20" s="9">
        <v>7.407407407407407E-2</v>
      </c>
      <c r="C20" s="9">
        <v>3.7037037037037035E-2</v>
      </c>
      <c r="D20" s="10">
        <v>0.1111111111111111</v>
      </c>
    </row>
    <row r="21" spans="1:4" x14ac:dyDescent="0.35">
      <c r="A21" s="7" t="s">
        <v>66</v>
      </c>
      <c r="B21" s="9">
        <v>7.407407407407407E-2</v>
      </c>
      <c r="C21" s="9">
        <v>7.407407407407407E-2</v>
      </c>
      <c r="D21" s="10">
        <v>7.407407407407407E-2</v>
      </c>
    </row>
    <row r="22" spans="1:4" x14ac:dyDescent="0.35">
      <c r="A22" s="7" t="s">
        <v>67</v>
      </c>
      <c r="B22" s="9">
        <v>7.407407407407407E-2</v>
      </c>
      <c r="C22" s="9">
        <v>7.407407407407407E-2</v>
      </c>
      <c r="D22" s="10">
        <v>7.407407407407407E-2</v>
      </c>
    </row>
    <row r="23" spans="1:4" x14ac:dyDescent="0.35">
      <c r="A23" s="7" t="s">
        <v>68</v>
      </c>
      <c r="B23" s="9">
        <v>0.25925925925925924</v>
      </c>
      <c r="C23" s="9">
        <v>0.25925925925925924</v>
      </c>
      <c r="D23" s="10">
        <v>0.25925925925925924</v>
      </c>
    </row>
    <row r="24" spans="1:4" x14ac:dyDescent="0.35">
      <c r="A24" s="7" t="s">
        <v>69</v>
      </c>
      <c r="B24" s="9">
        <v>0.18518518518518517</v>
      </c>
      <c r="C24" s="9">
        <v>0.18518518518518517</v>
      </c>
      <c r="D24" s="10">
        <v>0.18518518518518517</v>
      </c>
    </row>
    <row r="25" spans="1:4" x14ac:dyDescent="0.35">
      <c r="A25" s="7" t="s">
        <v>70</v>
      </c>
      <c r="B25" s="9">
        <v>5.5555555555555552E-2</v>
      </c>
      <c r="C25" s="9">
        <v>7.407407407407407E-2</v>
      </c>
      <c r="D25" s="10">
        <v>3.7037037037037035E-2</v>
      </c>
    </row>
    <row r="26" spans="1:4" x14ac:dyDescent="0.35">
      <c r="A26" s="7" t="s">
        <v>71</v>
      </c>
      <c r="B26" s="9">
        <v>5.5555555555555552E-2</v>
      </c>
      <c r="C26" s="9">
        <v>3.7037037037037035E-2</v>
      </c>
      <c r="D26" s="10">
        <v>7.407407407407407E-2</v>
      </c>
    </row>
    <row r="27" spans="1:4" x14ac:dyDescent="0.35">
      <c r="A27" s="7" t="s">
        <v>72</v>
      </c>
      <c r="B27" s="9">
        <v>7.407407407407407E-2</v>
      </c>
      <c r="C27" s="9">
        <v>7.407407407407407E-2</v>
      </c>
      <c r="D27" s="10">
        <v>7.407407407407407E-2</v>
      </c>
    </row>
    <row r="28" spans="1:4" x14ac:dyDescent="0.35">
      <c r="A28" s="7" t="s">
        <v>73</v>
      </c>
      <c r="B28" s="9">
        <v>7.407407407407407E-2</v>
      </c>
      <c r="C28" s="9">
        <v>7.407407407407407E-2</v>
      </c>
      <c r="D28" s="10">
        <v>7.407407407407407E-2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6CE0-6846-44A9-A54A-7DCDC257C639}">
  <sheetPr>
    <tabColor theme="8" tint="0.79998168889431442"/>
  </sheetPr>
  <dimension ref="A1:D36"/>
  <sheetViews>
    <sheetView topLeftCell="A7" zoomScaleNormal="100" workbookViewId="0">
      <selection activeCell="B26" sqref="B2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43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890</v>
      </c>
      <c r="C5" s="28"/>
      <c r="D5" s="29"/>
    </row>
    <row r="6" spans="1:4" x14ac:dyDescent="0.35">
      <c r="A6" s="7" t="s">
        <v>46</v>
      </c>
      <c r="B6" s="28" t="s">
        <v>93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7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0.125</v>
      </c>
      <c r="C20" s="9">
        <v>0.16666666666666666</v>
      </c>
      <c r="D20" s="10">
        <v>8.3333333333333329E-2</v>
      </c>
    </row>
    <row r="21" spans="1:4" x14ac:dyDescent="0.35">
      <c r="A21" s="7" t="s">
        <v>66</v>
      </c>
      <c r="B21" s="9">
        <v>4.1666666666666664E-2</v>
      </c>
      <c r="C21" s="9">
        <v>0</v>
      </c>
      <c r="D21" s="10">
        <v>8.3333333333333329E-2</v>
      </c>
    </row>
    <row r="22" spans="1:4" x14ac:dyDescent="0.35">
      <c r="A22" s="7" t="s">
        <v>67</v>
      </c>
      <c r="B22" s="9">
        <v>0.20833333333333334</v>
      </c>
      <c r="C22" s="9">
        <v>0.16666666666666666</v>
      </c>
      <c r="D22" s="10">
        <v>0.25</v>
      </c>
    </row>
    <row r="23" spans="1:4" x14ac:dyDescent="0.35">
      <c r="A23" s="7" t="s">
        <v>68</v>
      </c>
      <c r="B23" s="9">
        <v>0.29166666666666669</v>
      </c>
      <c r="C23" s="9">
        <v>0.33333333333333331</v>
      </c>
      <c r="D23" s="10">
        <v>0.25</v>
      </c>
    </row>
    <row r="24" spans="1:4" x14ac:dyDescent="0.35">
      <c r="A24" s="7" t="s">
        <v>69</v>
      </c>
      <c r="B24" s="9">
        <v>0.16666666666666666</v>
      </c>
      <c r="C24" s="9">
        <v>0.16666666666666666</v>
      </c>
      <c r="D24" s="10">
        <v>0.16666666666666666</v>
      </c>
    </row>
    <row r="25" spans="1:4" x14ac:dyDescent="0.35">
      <c r="A25" s="7" t="s">
        <v>70</v>
      </c>
      <c r="B25" s="9">
        <v>8.3333333333333329E-2</v>
      </c>
      <c r="C25" s="9">
        <v>8.3333333333333329E-2</v>
      </c>
      <c r="D25" s="10">
        <v>8.3333333333333329E-2</v>
      </c>
    </row>
    <row r="26" spans="1:4" x14ac:dyDescent="0.35">
      <c r="A26" s="7" t="s">
        <v>71</v>
      </c>
      <c r="B26" s="9">
        <v>8.3333333333333329E-2</v>
      </c>
      <c r="C26" s="9">
        <v>8.3333333333333329E-2</v>
      </c>
      <c r="D26" s="10">
        <v>8.3333333333333329E-2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CABF-F0BA-4D52-AD15-D7C56340BFE9}">
  <sheetPr>
    <tabColor theme="8" tint="0.79998168889431442"/>
  </sheetPr>
  <dimension ref="A1:D36"/>
  <sheetViews>
    <sheetView topLeftCell="A5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46" t="s">
        <v>90</v>
      </c>
      <c r="B3" s="47"/>
      <c r="C3" s="47"/>
      <c r="D3" s="48"/>
    </row>
    <row r="4" spans="1:4" x14ac:dyDescent="0.35">
      <c r="A4" s="49"/>
      <c r="B4" s="50"/>
      <c r="C4" s="50"/>
      <c r="D4" s="51"/>
    </row>
    <row r="5" spans="1:4" x14ac:dyDescent="0.35">
      <c r="A5" s="6" t="s">
        <v>45</v>
      </c>
      <c r="B5" s="28">
        <v>912</v>
      </c>
      <c r="C5" s="28"/>
      <c r="D5" s="29"/>
    </row>
    <row r="6" spans="1:4" x14ac:dyDescent="0.35">
      <c r="A6" s="7" t="s">
        <v>46</v>
      </c>
      <c r="B6" s="28" t="s">
        <v>83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12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5.0847457627118647E-2</v>
      </c>
      <c r="C19" s="9">
        <v>6.6666666666666666E-2</v>
      </c>
      <c r="D19" s="10">
        <v>3.4482758620689655E-2</v>
      </c>
    </row>
    <row r="20" spans="1:4" x14ac:dyDescent="0.35">
      <c r="A20" s="7" t="s">
        <v>65</v>
      </c>
      <c r="B20" s="9">
        <v>0.10169491525423729</v>
      </c>
      <c r="C20" s="9">
        <v>0.1</v>
      </c>
      <c r="D20" s="10">
        <v>0.10344827586206896</v>
      </c>
    </row>
    <row r="21" spans="1:4" x14ac:dyDescent="0.35">
      <c r="A21" s="7" t="s">
        <v>66</v>
      </c>
      <c r="B21" s="9">
        <v>0.15254237288135594</v>
      </c>
      <c r="C21" s="9">
        <v>0.13333333333333333</v>
      </c>
      <c r="D21" s="10">
        <v>0.17241379310344829</v>
      </c>
    </row>
    <row r="22" spans="1:4" x14ac:dyDescent="0.35">
      <c r="A22" s="7" t="s">
        <v>67</v>
      </c>
      <c r="B22" s="9">
        <v>0.16949152542372881</v>
      </c>
      <c r="C22" s="9">
        <v>0.16666666666666666</v>
      </c>
      <c r="D22" s="10">
        <v>0.17241379310344829</v>
      </c>
    </row>
    <row r="23" spans="1:4" x14ac:dyDescent="0.35">
      <c r="A23" s="7" t="s">
        <v>68</v>
      </c>
      <c r="B23" s="9">
        <v>3.3898305084745763E-2</v>
      </c>
      <c r="C23" s="9">
        <v>3.3333333333333333E-2</v>
      </c>
      <c r="D23" s="10">
        <v>3.4482758620689655E-2</v>
      </c>
    </row>
    <row r="24" spans="1:4" x14ac:dyDescent="0.35">
      <c r="A24" s="7" t="s">
        <v>69</v>
      </c>
      <c r="B24" s="9">
        <v>0.16949152542372881</v>
      </c>
      <c r="C24" s="9">
        <v>0.16666666666666666</v>
      </c>
      <c r="D24" s="10">
        <v>0.17241379310344829</v>
      </c>
    </row>
    <row r="25" spans="1:4" x14ac:dyDescent="0.35">
      <c r="A25" s="7" t="s">
        <v>70</v>
      </c>
      <c r="B25" s="9">
        <v>6.7796610169491525E-2</v>
      </c>
      <c r="C25" s="9">
        <v>6.6666666666666666E-2</v>
      </c>
      <c r="D25" s="10">
        <v>6.8965517241379309E-2</v>
      </c>
    </row>
    <row r="26" spans="1:4" x14ac:dyDescent="0.35">
      <c r="A26" s="7" t="s">
        <v>71</v>
      </c>
      <c r="B26" s="9">
        <v>3.3898305084745763E-2</v>
      </c>
      <c r="C26" s="9">
        <v>3.3333333333333333E-2</v>
      </c>
      <c r="D26" s="10">
        <v>3.4482758620689655E-2</v>
      </c>
    </row>
    <row r="27" spans="1:4" x14ac:dyDescent="0.35">
      <c r="A27" s="7" t="s">
        <v>72</v>
      </c>
      <c r="B27" s="9">
        <v>5.0847457627118647E-2</v>
      </c>
      <c r="C27" s="9">
        <v>6.6666666666666666E-2</v>
      </c>
      <c r="D27" s="10">
        <v>3.4482758620689655E-2</v>
      </c>
    </row>
    <row r="28" spans="1:4" x14ac:dyDescent="0.35">
      <c r="A28" s="7" t="s">
        <v>73</v>
      </c>
      <c r="B28" s="9">
        <v>6.7796610169491525E-2</v>
      </c>
      <c r="C28" s="9">
        <v>6.6666666666666666E-2</v>
      </c>
      <c r="D28" s="10">
        <v>6.8965517241379309E-2</v>
      </c>
    </row>
    <row r="29" spans="1:4" x14ac:dyDescent="0.35">
      <c r="A29" s="7" t="s">
        <v>74</v>
      </c>
      <c r="B29" s="9">
        <v>6.7796610169491525E-2</v>
      </c>
      <c r="C29" s="9">
        <v>6.6666666666666666E-2</v>
      </c>
      <c r="D29" s="10">
        <v>6.8965517241379309E-2</v>
      </c>
    </row>
    <row r="30" spans="1:4" x14ac:dyDescent="0.35">
      <c r="A30" s="7" t="s">
        <v>75</v>
      </c>
      <c r="B30" s="9">
        <v>3.3898305084745763E-2</v>
      </c>
      <c r="C30" s="9">
        <v>3.3333333333333333E-2</v>
      </c>
      <c r="D30" s="10">
        <v>3.4482758620689655E-2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4087-2A8B-4B6C-A839-CC2B1C87C072}">
  <sheetPr>
    <tabColor theme="8" tint="0.79998168889431442"/>
  </sheetPr>
  <dimension ref="A1:D36"/>
  <sheetViews>
    <sheetView topLeftCell="A5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46" t="s">
        <v>90</v>
      </c>
      <c r="B3" s="47"/>
      <c r="C3" s="47"/>
      <c r="D3" s="48"/>
    </row>
    <row r="4" spans="1:4" x14ac:dyDescent="0.35">
      <c r="A4" s="49"/>
      <c r="B4" s="50"/>
      <c r="C4" s="50"/>
      <c r="D4" s="51"/>
    </row>
    <row r="5" spans="1:4" x14ac:dyDescent="0.35">
      <c r="A5" s="6" t="s">
        <v>45</v>
      </c>
      <c r="B5" s="28">
        <v>932</v>
      </c>
      <c r="C5" s="28"/>
      <c r="D5" s="29"/>
    </row>
    <row r="6" spans="1:4" x14ac:dyDescent="0.35">
      <c r="A6" s="7" t="s">
        <v>46</v>
      </c>
      <c r="B6" s="28" t="s">
        <v>37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30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2.8571428571428571E-2</v>
      </c>
      <c r="C20" s="9">
        <v>2.8571428571428571E-2</v>
      </c>
      <c r="D20" s="10">
        <v>2.8571428571428571E-2</v>
      </c>
    </row>
    <row r="21" spans="1:4" x14ac:dyDescent="0.35">
      <c r="A21" s="7" t="s">
        <v>66</v>
      </c>
      <c r="B21" s="9">
        <v>0.1</v>
      </c>
      <c r="C21" s="9">
        <v>0.11428571428571428</v>
      </c>
      <c r="D21" s="10">
        <v>8.5714285714285715E-2</v>
      </c>
    </row>
    <row r="22" spans="1:4" x14ac:dyDescent="0.35">
      <c r="A22" s="7" t="s">
        <v>67</v>
      </c>
      <c r="B22" s="9">
        <v>0.2</v>
      </c>
      <c r="C22" s="9">
        <v>0.2</v>
      </c>
      <c r="D22" s="10">
        <v>0.2</v>
      </c>
    </row>
    <row r="23" spans="1:4" x14ac:dyDescent="0.35">
      <c r="A23" s="7" t="s">
        <v>68</v>
      </c>
      <c r="B23" s="9">
        <v>0.18571428571428572</v>
      </c>
      <c r="C23" s="9">
        <v>0.22857142857142856</v>
      </c>
      <c r="D23" s="10">
        <v>0.14285714285714285</v>
      </c>
    </row>
    <row r="24" spans="1:4" x14ac:dyDescent="0.35">
      <c r="A24" s="7" t="s">
        <v>69</v>
      </c>
      <c r="B24" s="9">
        <v>0.12857142857142856</v>
      </c>
      <c r="C24" s="9">
        <v>0.11428571428571428</v>
      </c>
      <c r="D24" s="10">
        <v>0.14285714285714285</v>
      </c>
    </row>
    <row r="25" spans="1:4" x14ac:dyDescent="0.35">
      <c r="A25" s="7" t="s">
        <v>70</v>
      </c>
      <c r="B25" s="9">
        <v>0.12857142857142856</v>
      </c>
      <c r="C25" s="9">
        <v>8.5714285714285715E-2</v>
      </c>
      <c r="D25" s="10">
        <v>0.17142857142857143</v>
      </c>
    </row>
    <row r="26" spans="1:4" x14ac:dyDescent="0.35">
      <c r="A26" s="7" t="s">
        <v>71</v>
      </c>
      <c r="B26" s="9">
        <v>7.1428571428571425E-2</v>
      </c>
      <c r="C26" s="9">
        <v>8.5714285714285715E-2</v>
      </c>
      <c r="D26" s="10">
        <v>5.7142857142857141E-2</v>
      </c>
    </row>
    <row r="27" spans="1:4" x14ac:dyDescent="0.35">
      <c r="A27" s="7" t="s">
        <v>72</v>
      </c>
      <c r="B27" s="9">
        <v>4.2857142857142858E-2</v>
      </c>
      <c r="C27" s="9">
        <v>2.8571428571428571E-2</v>
      </c>
      <c r="D27" s="10">
        <v>5.7142857142857141E-2</v>
      </c>
    </row>
    <row r="28" spans="1:4" x14ac:dyDescent="0.35">
      <c r="A28" s="7" t="s">
        <v>73</v>
      </c>
      <c r="B28" s="9">
        <v>5.7142857142857141E-2</v>
      </c>
      <c r="C28" s="9">
        <v>5.7142857142857141E-2</v>
      </c>
      <c r="D28" s="10">
        <v>5.7142857142857141E-2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2.8571428571428571E-2</v>
      </c>
      <c r="C31" s="9">
        <v>2.8571428571428571E-2</v>
      </c>
      <c r="D31" s="10">
        <v>2.8571428571428571E-2</v>
      </c>
    </row>
    <row r="32" spans="1:4" x14ac:dyDescent="0.35">
      <c r="A32" s="7" t="s">
        <v>77</v>
      </c>
      <c r="B32" s="9">
        <v>2.8571428571428571E-2</v>
      </c>
      <c r="C32" s="9">
        <v>2.8571428571428571E-2</v>
      </c>
      <c r="D32" s="10">
        <v>2.8571428571428571E-2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FCD9-765C-452E-A25D-633E0FACC5C8}">
  <sheetPr>
    <tabColor theme="8" tint="0.79998168889431442"/>
  </sheetPr>
  <dimension ref="A1:D36"/>
  <sheetViews>
    <sheetView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933</v>
      </c>
      <c r="C5" s="28"/>
      <c r="D5" s="29"/>
    </row>
    <row r="6" spans="1:4" x14ac:dyDescent="0.35">
      <c r="A6" s="7" t="s">
        <v>46</v>
      </c>
      <c r="B6" s="28" t="s">
        <v>38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5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0.1</v>
      </c>
      <c r="C17" s="9">
        <v>0.1</v>
      </c>
      <c r="D17" s="10">
        <v>0.1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0.05</v>
      </c>
      <c r="C19" s="9">
        <v>0.1</v>
      </c>
      <c r="D19" s="10">
        <v>0</v>
      </c>
    </row>
    <row r="20" spans="1:4" x14ac:dyDescent="0.35">
      <c r="A20" s="7" t="s">
        <v>65</v>
      </c>
      <c r="B20" s="9">
        <v>0.15</v>
      </c>
      <c r="C20" s="9">
        <v>0.1</v>
      </c>
      <c r="D20" s="10">
        <v>0.2</v>
      </c>
    </row>
    <row r="21" spans="1:4" x14ac:dyDescent="0.35">
      <c r="A21" s="7" t="s">
        <v>66</v>
      </c>
      <c r="B21" s="9">
        <v>0.2</v>
      </c>
      <c r="C21" s="9">
        <v>0.2</v>
      </c>
      <c r="D21" s="10">
        <v>0.2</v>
      </c>
    </row>
    <row r="22" spans="1:4" x14ac:dyDescent="0.35">
      <c r="A22" s="7" t="s">
        <v>67</v>
      </c>
      <c r="B22" s="9">
        <v>0.05</v>
      </c>
      <c r="C22" s="9">
        <v>0.1</v>
      </c>
      <c r="D22" s="10">
        <v>0</v>
      </c>
    </row>
    <row r="23" spans="1:4" x14ac:dyDescent="0.35">
      <c r="A23" s="7" t="s">
        <v>68</v>
      </c>
      <c r="B23" s="9">
        <v>0.15</v>
      </c>
      <c r="C23" s="9">
        <v>0.1</v>
      </c>
      <c r="D23" s="10">
        <v>0.2</v>
      </c>
    </row>
    <row r="24" spans="1:4" x14ac:dyDescent="0.35">
      <c r="A24" s="7" t="s">
        <v>69</v>
      </c>
      <c r="B24" s="9">
        <v>0</v>
      </c>
      <c r="C24" s="9">
        <v>0</v>
      </c>
      <c r="D24" s="10">
        <v>0</v>
      </c>
    </row>
    <row r="25" spans="1:4" x14ac:dyDescent="0.35">
      <c r="A25" s="7" t="s">
        <v>70</v>
      </c>
      <c r="B25" s="9">
        <v>0.1</v>
      </c>
      <c r="C25" s="9">
        <v>0.1</v>
      </c>
      <c r="D25" s="10">
        <v>0.1</v>
      </c>
    </row>
    <row r="26" spans="1:4" x14ac:dyDescent="0.35">
      <c r="A26" s="7" t="s">
        <v>71</v>
      </c>
      <c r="B26" s="9">
        <v>0.1</v>
      </c>
      <c r="C26" s="9">
        <v>0.1</v>
      </c>
      <c r="D26" s="10">
        <v>0.1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0.1</v>
      </c>
      <c r="C29" s="9">
        <v>0.1</v>
      </c>
      <c r="D29" s="10">
        <v>0.1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A0A4-BDB3-4F68-9700-7F1D03DE92C4}">
  <sheetPr>
    <tabColor theme="8" tint="0.79998168889431442"/>
  </sheetPr>
  <dimension ref="A1:D36"/>
  <sheetViews>
    <sheetView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ht="15" customHeight="1" x14ac:dyDescent="0.35">
      <c r="A1" s="32" t="s">
        <v>44</v>
      </c>
      <c r="B1" s="33"/>
      <c r="C1" s="33"/>
      <c r="D1" s="34"/>
    </row>
    <row r="2" spans="1:4" ht="15" customHeight="1" x14ac:dyDescent="0.35">
      <c r="A2" s="35"/>
      <c r="B2" s="36"/>
      <c r="C2" s="36"/>
      <c r="D2" s="37"/>
    </row>
    <row r="3" spans="1:4" x14ac:dyDescent="0.35">
      <c r="A3" s="46" t="s">
        <v>90</v>
      </c>
      <c r="B3" s="47"/>
      <c r="C3" s="47"/>
      <c r="D3" s="48"/>
    </row>
    <row r="4" spans="1:4" x14ac:dyDescent="0.35">
      <c r="A4" s="49"/>
      <c r="B4" s="50"/>
      <c r="C4" s="50"/>
      <c r="D4" s="51"/>
    </row>
    <row r="5" spans="1:4" x14ac:dyDescent="0.35">
      <c r="A5" s="6" t="s">
        <v>45</v>
      </c>
      <c r="B5" s="28">
        <v>934</v>
      </c>
      <c r="C5" s="28"/>
      <c r="D5" s="29"/>
    </row>
    <row r="6" spans="1:4" x14ac:dyDescent="0.35">
      <c r="A6" s="7" t="s">
        <v>46</v>
      </c>
      <c r="B6" s="28" t="s">
        <v>39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28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2.1428571428571429E-2</v>
      </c>
      <c r="C18" s="9">
        <v>2.8571428571428571E-2</v>
      </c>
      <c r="D18" s="10">
        <v>1.4285714285714285E-2</v>
      </c>
    </row>
    <row r="19" spans="1:4" x14ac:dyDescent="0.35">
      <c r="A19" s="7" t="s">
        <v>64</v>
      </c>
      <c r="B19" s="9">
        <v>7.857142857142857E-2</v>
      </c>
      <c r="C19" s="9">
        <v>7.1428571428571425E-2</v>
      </c>
      <c r="D19" s="10">
        <v>8.5714285714285715E-2</v>
      </c>
    </row>
    <row r="20" spans="1:4" x14ac:dyDescent="0.35">
      <c r="A20" s="7" t="s">
        <v>65</v>
      </c>
      <c r="B20" s="9">
        <v>2.8571428571428571E-2</v>
      </c>
      <c r="C20" s="9">
        <v>4.2857142857142858E-2</v>
      </c>
      <c r="D20" s="10">
        <v>1.4285714285714285E-2</v>
      </c>
    </row>
    <row r="21" spans="1:4" x14ac:dyDescent="0.35">
      <c r="A21" s="7" t="s">
        <v>66</v>
      </c>
      <c r="B21" s="9">
        <v>0.10714285714285714</v>
      </c>
      <c r="C21" s="9">
        <v>0.11428571428571428</v>
      </c>
      <c r="D21" s="10">
        <v>0.1</v>
      </c>
    </row>
    <row r="22" spans="1:4" x14ac:dyDescent="0.35">
      <c r="A22" s="7" t="s">
        <v>67</v>
      </c>
      <c r="B22" s="9">
        <v>0.19285714285714287</v>
      </c>
      <c r="C22" s="9">
        <v>0.18571428571428572</v>
      </c>
      <c r="D22" s="10">
        <v>0.2</v>
      </c>
    </row>
    <row r="23" spans="1:4" x14ac:dyDescent="0.35">
      <c r="A23" s="7" t="s">
        <v>68</v>
      </c>
      <c r="B23" s="9">
        <v>0.1</v>
      </c>
      <c r="C23" s="9">
        <v>8.5714285714285715E-2</v>
      </c>
      <c r="D23" s="10">
        <v>0.11428571428571428</v>
      </c>
    </row>
    <row r="24" spans="1:4" x14ac:dyDescent="0.35">
      <c r="A24" s="7" t="s">
        <v>69</v>
      </c>
      <c r="B24" s="9">
        <v>0.1357142857142857</v>
      </c>
      <c r="C24" s="9">
        <v>0.14285714285714285</v>
      </c>
      <c r="D24" s="10">
        <v>0.12857142857142856</v>
      </c>
    </row>
    <row r="25" spans="1:4" x14ac:dyDescent="0.35">
      <c r="A25" s="7" t="s">
        <v>70</v>
      </c>
      <c r="B25" s="9">
        <v>8.5714285714285715E-2</v>
      </c>
      <c r="C25" s="9">
        <v>8.5714285714285715E-2</v>
      </c>
      <c r="D25" s="10">
        <v>8.5714285714285715E-2</v>
      </c>
    </row>
    <row r="26" spans="1:4" x14ac:dyDescent="0.35">
      <c r="A26" s="7" t="s">
        <v>71</v>
      </c>
      <c r="B26" s="9">
        <v>4.2857142857142858E-2</v>
      </c>
      <c r="C26" s="9">
        <v>4.2857142857142858E-2</v>
      </c>
      <c r="D26" s="10">
        <v>4.2857142857142858E-2</v>
      </c>
    </row>
    <row r="27" spans="1:4" x14ac:dyDescent="0.35">
      <c r="A27" s="7" t="s">
        <v>72</v>
      </c>
      <c r="B27" s="9">
        <v>8.5714285714285715E-2</v>
      </c>
      <c r="C27" s="9">
        <v>8.5714285714285715E-2</v>
      </c>
      <c r="D27" s="10">
        <v>8.5714285714285715E-2</v>
      </c>
    </row>
    <row r="28" spans="1:4" x14ac:dyDescent="0.35">
      <c r="A28" s="7" t="s">
        <v>73</v>
      </c>
      <c r="B28" s="9">
        <v>4.2857142857142858E-2</v>
      </c>
      <c r="C28" s="9">
        <v>5.7142857142857141E-2</v>
      </c>
      <c r="D28" s="10">
        <v>2.8571428571428571E-2</v>
      </c>
    </row>
    <row r="29" spans="1:4" x14ac:dyDescent="0.35">
      <c r="A29" s="7" t="s">
        <v>74</v>
      </c>
      <c r="B29" s="9">
        <v>1.4285714285714285E-2</v>
      </c>
      <c r="C29" s="9">
        <v>1.4285714285714285E-2</v>
      </c>
      <c r="D29" s="10">
        <v>1.4285714285714285E-2</v>
      </c>
    </row>
    <row r="30" spans="1:4" x14ac:dyDescent="0.35">
      <c r="A30" s="7" t="s">
        <v>75</v>
      </c>
      <c r="B30" s="9">
        <v>1.4285714285714285E-2</v>
      </c>
      <c r="C30" s="9">
        <v>0</v>
      </c>
      <c r="D30" s="10">
        <v>2.8571428571428571E-2</v>
      </c>
    </row>
    <row r="31" spans="1:4" x14ac:dyDescent="0.35">
      <c r="A31" s="7" t="s">
        <v>76</v>
      </c>
      <c r="B31" s="9">
        <v>1.4285714285714285E-2</v>
      </c>
      <c r="C31" s="9">
        <v>0</v>
      </c>
      <c r="D31" s="10">
        <v>2.8571428571428571E-2</v>
      </c>
    </row>
    <row r="32" spans="1:4" x14ac:dyDescent="0.35">
      <c r="A32" s="7" t="s">
        <v>77</v>
      </c>
      <c r="B32" s="9">
        <v>2.1428571428571429E-2</v>
      </c>
      <c r="C32" s="9">
        <v>2.8571428571428571E-2</v>
      </c>
      <c r="D32" s="10">
        <v>1.4285714285714285E-2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1.4285714285714285E-2</v>
      </c>
      <c r="C35" s="12">
        <v>1.4285714285714285E-2</v>
      </c>
      <c r="D35" s="13">
        <v>1.4285714285714285E-2</v>
      </c>
    </row>
    <row r="36" spans="1:4" x14ac:dyDescent="0.35">
      <c r="B36" s="14">
        <f>SUM(B12:B35)</f>
        <v>0.99999999999999978</v>
      </c>
      <c r="C36" s="14">
        <f>SUM(C12:C35)</f>
        <v>1</v>
      </c>
      <c r="D36" s="14">
        <f>SUM(D12:D35)</f>
        <v>0.99999999999999989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5084-EBCE-4F7F-965C-909029F30E0B}">
  <sheetPr>
    <tabColor theme="8" tint="0.79998168889431442"/>
  </sheetPr>
  <dimension ref="A1:D36"/>
  <sheetViews>
    <sheetView topLeftCell="A9" zoomScaleNormal="100" workbookViewId="0">
      <selection activeCell="C27" sqref="C27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941</v>
      </c>
      <c r="C5" s="28"/>
      <c r="D5" s="29"/>
    </row>
    <row r="6" spans="1:4" x14ac:dyDescent="0.35">
      <c r="A6" s="7" t="s">
        <v>46</v>
      </c>
      <c r="B6" s="28" t="s">
        <v>40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1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0</v>
      </c>
      <c r="C19" s="9">
        <v>0</v>
      </c>
      <c r="D19" s="10">
        <v>0</v>
      </c>
    </row>
    <row r="20" spans="1:4" x14ac:dyDescent="0.35">
      <c r="A20" s="7" t="s">
        <v>65</v>
      </c>
      <c r="B20" s="9">
        <v>0</v>
      </c>
      <c r="C20" s="9">
        <v>0</v>
      </c>
      <c r="D20" s="10">
        <v>0</v>
      </c>
    </row>
    <row r="21" spans="1:4" x14ac:dyDescent="0.35">
      <c r="A21" s="7" t="s">
        <v>66</v>
      </c>
      <c r="B21" s="9">
        <v>0</v>
      </c>
      <c r="C21" s="9">
        <v>0</v>
      </c>
      <c r="D21" s="10">
        <v>0</v>
      </c>
    </row>
    <row r="22" spans="1:4" x14ac:dyDescent="0.35">
      <c r="A22" s="7" t="s">
        <v>67</v>
      </c>
      <c r="B22" s="9">
        <v>0.5</v>
      </c>
      <c r="C22" s="9">
        <v>1</v>
      </c>
      <c r="D22" s="10">
        <v>0</v>
      </c>
    </row>
    <row r="23" spans="1:4" x14ac:dyDescent="0.35">
      <c r="A23" s="7" t="s">
        <v>68</v>
      </c>
      <c r="B23" s="9">
        <v>0.5</v>
      </c>
      <c r="C23" s="9">
        <v>0</v>
      </c>
      <c r="D23" s="10">
        <v>1</v>
      </c>
    </row>
    <row r="24" spans="1:4" x14ac:dyDescent="0.35">
      <c r="A24" s="7" t="s">
        <v>69</v>
      </c>
      <c r="B24" s="9">
        <v>0</v>
      </c>
      <c r="C24" s="9">
        <v>0</v>
      </c>
      <c r="D24" s="10">
        <v>0</v>
      </c>
    </row>
    <row r="25" spans="1:4" x14ac:dyDescent="0.35">
      <c r="A25" s="7" t="s">
        <v>70</v>
      </c>
      <c r="B25" s="9">
        <v>0</v>
      </c>
      <c r="C25" s="9">
        <v>0</v>
      </c>
      <c r="D25" s="10">
        <v>0</v>
      </c>
    </row>
    <row r="26" spans="1:4" x14ac:dyDescent="0.35">
      <c r="A26" s="7" t="s">
        <v>71</v>
      </c>
      <c r="B26" s="9">
        <v>0</v>
      </c>
      <c r="C26" s="9">
        <v>0</v>
      </c>
      <c r="D26" s="10">
        <v>0</v>
      </c>
    </row>
    <row r="27" spans="1:4" x14ac:dyDescent="0.35">
      <c r="A27" s="7" t="s">
        <v>72</v>
      </c>
      <c r="B27" s="9">
        <v>0</v>
      </c>
      <c r="C27" s="9">
        <v>0</v>
      </c>
      <c r="D27" s="10">
        <v>0</v>
      </c>
    </row>
    <row r="28" spans="1:4" x14ac:dyDescent="0.35">
      <c r="A28" s="7" t="s">
        <v>73</v>
      </c>
      <c r="B28" s="9">
        <v>0</v>
      </c>
      <c r="C28" s="9">
        <v>0</v>
      </c>
      <c r="D28" s="10">
        <v>0</v>
      </c>
    </row>
    <row r="29" spans="1:4" x14ac:dyDescent="0.35">
      <c r="A29" s="7" t="s">
        <v>74</v>
      </c>
      <c r="B29" s="9">
        <v>0</v>
      </c>
      <c r="C29" s="9">
        <v>0</v>
      </c>
      <c r="D29" s="10">
        <v>0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AB68-9BE0-4C85-B938-95E5079F95F5}">
  <sheetPr>
    <tabColor theme="8" tint="0.79998168889431442"/>
  </sheetPr>
  <dimension ref="A1:D36"/>
  <sheetViews>
    <sheetView zoomScaleNormal="100" workbookViewId="0">
      <selection activeCell="C20" sqref="C20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943</v>
      </c>
      <c r="C5" s="28"/>
      <c r="D5" s="29"/>
    </row>
    <row r="6" spans="1:4" x14ac:dyDescent="0.35">
      <c r="A6" s="7" t="s">
        <v>46</v>
      </c>
      <c r="B6" s="28" t="s">
        <v>41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26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0</v>
      </c>
      <c r="C12" s="9">
        <v>0</v>
      </c>
      <c r="D12" s="10">
        <v>0</v>
      </c>
    </row>
    <row r="13" spans="1:4" x14ac:dyDescent="0.35">
      <c r="A13" s="7" t="s">
        <v>58</v>
      </c>
      <c r="B13" s="9">
        <v>0</v>
      </c>
      <c r="C13" s="9">
        <v>0</v>
      </c>
      <c r="D13" s="10">
        <v>0</v>
      </c>
    </row>
    <row r="14" spans="1:4" x14ac:dyDescent="0.35">
      <c r="A14" s="7" t="s">
        <v>59</v>
      </c>
      <c r="B14" s="9">
        <v>0</v>
      </c>
      <c r="C14" s="9">
        <v>0</v>
      </c>
      <c r="D14" s="10">
        <v>0</v>
      </c>
    </row>
    <row r="15" spans="1:4" x14ac:dyDescent="0.35">
      <c r="A15" s="7" t="s">
        <v>60</v>
      </c>
      <c r="B15" s="9">
        <v>0</v>
      </c>
      <c r="C15" s="9">
        <v>0</v>
      </c>
      <c r="D15" s="10">
        <v>0</v>
      </c>
    </row>
    <row r="16" spans="1:4" x14ac:dyDescent="0.35">
      <c r="A16" s="7" t="s">
        <v>61</v>
      </c>
      <c r="B16" s="9">
        <v>0</v>
      </c>
      <c r="C16" s="9">
        <v>0</v>
      </c>
      <c r="D16" s="10">
        <v>0</v>
      </c>
    </row>
    <row r="17" spans="1:4" x14ac:dyDescent="0.35">
      <c r="A17" s="7" t="s">
        <v>62</v>
      </c>
      <c r="B17" s="9">
        <v>0</v>
      </c>
      <c r="C17" s="9">
        <v>0</v>
      </c>
      <c r="D17" s="10">
        <v>0</v>
      </c>
    </row>
    <row r="18" spans="1:4" x14ac:dyDescent="0.35">
      <c r="A18" s="7" t="s">
        <v>63</v>
      </c>
      <c r="B18" s="9">
        <v>0</v>
      </c>
      <c r="C18" s="9">
        <v>0</v>
      </c>
      <c r="D18" s="10">
        <v>0</v>
      </c>
    </row>
    <row r="19" spans="1:4" x14ac:dyDescent="0.35">
      <c r="A19" s="7" t="s">
        <v>64</v>
      </c>
      <c r="B19" s="9">
        <v>3.6764705882352942E-2</v>
      </c>
      <c r="C19" s="9">
        <v>5.8823529411764705E-2</v>
      </c>
      <c r="D19" s="10">
        <v>1.4705882352941176E-2</v>
      </c>
    </row>
    <row r="20" spans="1:4" x14ac:dyDescent="0.35">
      <c r="A20" s="7" t="s">
        <v>65</v>
      </c>
      <c r="B20" s="9">
        <v>0.10294117647058823</v>
      </c>
      <c r="C20" s="9">
        <v>0.10294117647058823</v>
      </c>
      <c r="D20" s="10">
        <v>0.10294117647058823</v>
      </c>
    </row>
    <row r="21" spans="1:4" x14ac:dyDescent="0.35">
      <c r="A21" s="7" t="s">
        <v>66</v>
      </c>
      <c r="B21" s="9">
        <v>8.0882352941176475E-2</v>
      </c>
      <c r="C21" s="9">
        <v>8.8235294117647065E-2</v>
      </c>
      <c r="D21" s="10">
        <v>7.3529411764705885E-2</v>
      </c>
    </row>
    <row r="22" spans="1:4" x14ac:dyDescent="0.35">
      <c r="A22" s="7" t="s">
        <v>67</v>
      </c>
      <c r="B22" s="9">
        <v>0.11029411764705882</v>
      </c>
      <c r="C22" s="9">
        <v>0.14705882352941177</v>
      </c>
      <c r="D22" s="10">
        <v>7.3529411764705885E-2</v>
      </c>
    </row>
    <row r="23" spans="1:4" x14ac:dyDescent="0.35">
      <c r="A23" s="7" t="s">
        <v>68</v>
      </c>
      <c r="B23" s="9">
        <v>0.24264705882352941</v>
      </c>
      <c r="C23" s="9">
        <v>0.19117647058823528</v>
      </c>
      <c r="D23" s="10">
        <v>0.29411764705882354</v>
      </c>
    </row>
    <row r="24" spans="1:4" x14ac:dyDescent="0.35">
      <c r="A24" s="7" t="s">
        <v>69</v>
      </c>
      <c r="B24" s="9">
        <v>7.3529411764705885E-2</v>
      </c>
      <c r="C24" s="9">
        <v>7.3529411764705885E-2</v>
      </c>
      <c r="D24" s="10">
        <v>7.3529411764705885E-2</v>
      </c>
    </row>
    <row r="25" spans="1:4" x14ac:dyDescent="0.35">
      <c r="A25" s="7" t="s">
        <v>70</v>
      </c>
      <c r="B25" s="9">
        <v>0.125</v>
      </c>
      <c r="C25" s="9">
        <v>0.11764705882352941</v>
      </c>
      <c r="D25" s="10">
        <v>0.13235294117647059</v>
      </c>
    </row>
    <row r="26" spans="1:4" x14ac:dyDescent="0.35">
      <c r="A26" s="7" t="s">
        <v>71</v>
      </c>
      <c r="B26" s="9">
        <v>9.5588235294117641E-2</v>
      </c>
      <c r="C26" s="9">
        <v>8.8235294117647065E-2</v>
      </c>
      <c r="D26" s="10">
        <v>0.10294117647058823</v>
      </c>
    </row>
    <row r="27" spans="1:4" x14ac:dyDescent="0.35">
      <c r="A27" s="7" t="s">
        <v>72</v>
      </c>
      <c r="B27" s="9">
        <v>4.4117647058823532E-2</v>
      </c>
      <c r="C27" s="9">
        <v>4.4117647058823532E-2</v>
      </c>
      <c r="D27" s="10">
        <v>4.4117647058823532E-2</v>
      </c>
    </row>
    <row r="28" spans="1:4" x14ac:dyDescent="0.35">
      <c r="A28" s="7" t="s">
        <v>73</v>
      </c>
      <c r="B28" s="9">
        <v>7.3529411764705885E-2</v>
      </c>
      <c r="C28" s="9">
        <v>7.3529411764705885E-2</v>
      </c>
      <c r="D28" s="10">
        <v>7.3529411764705885E-2</v>
      </c>
    </row>
    <row r="29" spans="1:4" x14ac:dyDescent="0.35">
      <c r="A29" s="7" t="s">
        <v>74</v>
      </c>
      <c r="B29" s="9">
        <v>1.4705882352941176E-2</v>
      </c>
      <c r="C29" s="9">
        <v>1.4705882352941176E-2</v>
      </c>
      <c r="D29" s="10">
        <v>1.4705882352941176E-2</v>
      </c>
    </row>
    <row r="30" spans="1:4" x14ac:dyDescent="0.35">
      <c r="A30" s="7" t="s">
        <v>75</v>
      </c>
      <c r="B30" s="9">
        <v>0</v>
      </c>
      <c r="C30" s="9">
        <v>0</v>
      </c>
      <c r="D30" s="10">
        <v>0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0.99999999999999978</v>
      </c>
      <c r="C36" s="14">
        <f>SUM(C12:C35)</f>
        <v>0.99999999999999989</v>
      </c>
      <c r="D36" s="14">
        <f>SUM(D12:D35)</f>
        <v>0.99999999999999978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8789-6CD8-4DD0-A0AE-12491E0BAEDC}">
  <sheetPr>
    <tabColor theme="8" tint="0.79998168889431442"/>
  </sheetPr>
  <dimension ref="A1:D36"/>
  <sheetViews>
    <sheetView topLeftCell="A13" zoomScaleNormal="100" workbookViewId="0">
      <selection activeCell="D36" sqref="D36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945</v>
      </c>
      <c r="C5" s="28"/>
      <c r="D5" s="29"/>
    </row>
    <row r="6" spans="1:4" x14ac:dyDescent="0.35">
      <c r="A6" s="7" t="s">
        <v>46</v>
      </c>
      <c r="B6" s="28" t="s">
        <v>42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21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1.8450184501845018E-2</v>
      </c>
      <c r="C12" s="9">
        <v>2.9411764705882353E-2</v>
      </c>
      <c r="D12" s="10">
        <v>7.4074074074074077E-3</v>
      </c>
    </row>
    <row r="13" spans="1:4" x14ac:dyDescent="0.35">
      <c r="A13" s="7" t="s">
        <v>58</v>
      </c>
      <c r="B13" s="9">
        <v>1.107011070110701E-2</v>
      </c>
      <c r="C13" s="9">
        <v>0</v>
      </c>
      <c r="D13" s="10">
        <v>2.2222222222222223E-2</v>
      </c>
    </row>
    <row r="14" spans="1:4" x14ac:dyDescent="0.35">
      <c r="A14" s="7" t="s">
        <v>59</v>
      </c>
      <c r="B14" s="9">
        <v>1.4760147601476014E-2</v>
      </c>
      <c r="C14" s="9">
        <v>1.4705882352941176E-2</v>
      </c>
      <c r="D14" s="10">
        <v>1.4814814814814815E-2</v>
      </c>
    </row>
    <row r="15" spans="1:4" x14ac:dyDescent="0.35">
      <c r="A15" s="7" t="s">
        <v>60</v>
      </c>
      <c r="B15" s="9">
        <v>7.3800738007380072E-3</v>
      </c>
      <c r="C15" s="9">
        <v>7.3529411764705881E-3</v>
      </c>
      <c r="D15" s="10">
        <v>7.4074074074074077E-3</v>
      </c>
    </row>
    <row r="16" spans="1:4" x14ac:dyDescent="0.35">
      <c r="A16" s="7" t="s">
        <v>61</v>
      </c>
      <c r="B16" s="9">
        <v>1.4760147601476014E-2</v>
      </c>
      <c r="C16" s="9">
        <v>1.4705882352941176E-2</v>
      </c>
      <c r="D16" s="10">
        <v>1.4814814814814815E-2</v>
      </c>
    </row>
    <row r="17" spans="1:4" x14ac:dyDescent="0.35">
      <c r="A17" s="7" t="s">
        <v>62</v>
      </c>
      <c r="B17" s="9">
        <v>8.1180811808118078E-2</v>
      </c>
      <c r="C17" s="9">
        <v>8.8235294117647065E-2</v>
      </c>
      <c r="D17" s="10">
        <v>7.407407407407407E-2</v>
      </c>
    </row>
    <row r="18" spans="1:4" x14ac:dyDescent="0.35">
      <c r="A18" s="7" t="s">
        <v>63</v>
      </c>
      <c r="B18" s="9">
        <v>7.0110701107011064E-2</v>
      </c>
      <c r="C18" s="9">
        <v>8.0882352941176475E-2</v>
      </c>
      <c r="D18" s="10">
        <v>5.9259259259259262E-2</v>
      </c>
    </row>
    <row r="19" spans="1:4" x14ac:dyDescent="0.35">
      <c r="A19" s="7" t="s">
        <v>64</v>
      </c>
      <c r="B19" s="9">
        <v>9.2250922509225092E-2</v>
      </c>
      <c r="C19" s="9">
        <v>8.8235294117647065E-2</v>
      </c>
      <c r="D19" s="10">
        <v>9.6296296296296297E-2</v>
      </c>
    </row>
    <row r="20" spans="1:4" x14ac:dyDescent="0.35">
      <c r="A20" s="7" t="s">
        <v>65</v>
      </c>
      <c r="B20" s="9">
        <v>0.11070110701107011</v>
      </c>
      <c r="C20" s="9">
        <v>0.11029411764705882</v>
      </c>
      <c r="D20" s="10">
        <v>0.1111111111111111</v>
      </c>
    </row>
    <row r="21" spans="1:4" x14ac:dyDescent="0.35">
      <c r="A21" s="7" t="s">
        <v>66</v>
      </c>
      <c r="B21" s="9">
        <v>8.8560885608856083E-2</v>
      </c>
      <c r="C21" s="9">
        <v>8.0882352941176475E-2</v>
      </c>
      <c r="D21" s="10">
        <v>9.6296296296296297E-2</v>
      </c>
    </row>
    <row r="22" spans="1:4" x14ac:dyDescent="0.35">
      <c r="A22" s="7" t="s">
        <v>67</v>
      </c>
      <c r="B22" s="9">
        <v>9.9630996309963096E-2</v>
      </c>
      <c r="C22" s="9">
        <v>0.10294117647058823</v>
      </c>
      <c r="D22" s="10">
        <v>9.6296296296296297E-2</v>
      </c>
    </row>
    <row r="23" spans="1:4" x14ac:dyDescent="0.35">
      <c r="A23" s="7" t="s">
        <v>68</v>
      </c>
      <c r="B23" s="9">
        <v>7.3800738007380073E-2</v>
      </c>
      <c r="C23" s="9">
        <v>7.3529411764705885E-2</v>
      </c>
      <c r="D23" s="10">
        <v>7.407407407407407E-2</v>
      </c>
    </row>
    <row r="24" spans="1:4" x14ac:dyDescent="0.35">
      <c r="A24" s="7" t="s">
        <v>69</v>
      </c>
      <c r="B24" s="9">
        <v>7.0110701107011064E-2</v>
      </c>
      <c r="C24" s="9">
        <v>6.6176470588235295E-2</v>
      </c>
      <c r="D24" s="10">
        <v>7.407407407407407E-2</v>
      </c>
    </row>
    <row r="25" spans="1:4" x14ac:dyDescent="0.35">
      <c r="A25" s="7" t="s">
        <v>70</v>
      </c>
      <c r="B25" s="9">
        <v>9.2250922509225092E-2</v>
      </c>
      <c r="C25" s="9">
        <v>0.10294117647058823</v>
      </c>
      <c r="D25" s="10">
        <v>8.1481481481481488E-2</v>
      </c>
    </row>
    <row r="26" spans="1:4" x14ac:dyDescent="0.35">
      <c r="A26" s="7" t="s">
        <v>71</v>
      </c>
      <c r="B26" s="9">
        <v>6.6420664206642069E-2</v>
      </c>
      <c r="C26" s="9">
        <v>5.1470588235294115E-2</v>
      </c>
      <c r="D26" s="10">
        <v>8.1481481481481488E-2</v>
      </c>
    </row>
    <row r="27" spans="1:4" x14ac:dyDescent="0.35">
      <c r="A27" s="7" t="s">
        <v>72</v>
      </c>
      <c r="B27" s="9">
        <v>3.6900369003690037E-2</v>
      </c>
      <c r="C27" s="9">
        <v>3.6764705882352942E-2</v>
      </c>
      <c r="D27" s="10">
        <v>3.7037037037037035E-2</v>
      </c>
    </row>
    <row r="28" spans="1:4" x14ac:dyDescent="0.35">
      <c r="A28" s="7" t="s">
        <v>73</v>
      </c>
      <c r="B28" s="9">
        <v>3.6900369003690037E-2</v>
      </c>
      <c r="C28" s="9">
        <v>3.6764705882352942E-2</v>
      </c>
      <c r="D28" s="10">
        <v>3.7037037037037035E-2</v>
      </c>
    </row>
    <row r="29" spans="1:4" x14ac:dyDescent="0.35">
      <c r="A29" s="7" t="s">
        <v>74</v>
      </c>
      <c r="B29" s="9">
        <v>7.3800738007380072E-3</v>
      </c>
      <c r="C29" s="9">
        <v>7.3529411764705881E-3</v>
      </c>
      <c r="D29" s="10">
        <v>7.4074074074074077E-3</v>
      </c>
    </row>
    <row r="30" spans="1:4" x14ac:dyDescent="0.35">
      <c r="A30" s="7" t="s">
        <v>75</v>
      </c>
      <c r="B30" s="9">
        <v>7.3800738007380072E-3</v>
      </c>
      <c r="C30" s="9">
        <v>7.3529411764705881E-3</v>
      </c>
      <c r="D30" s="10">
        <v>7.4074074074074077E-3</v>
      </c>
    </row>
    <row r="31" spans="1:4" x14ac:dyDescent="0.35">
      <c r="A31" s="7" t="s">
        <v>76</v>
      </c>
      <c r="B31" s="9">
        <v>0</v>
      </c>
      <c r="C31" s="9">
        <v>0</v>
      </c>
      <c r="D31" s="10">
        <v>0</v>
      </c>
    </row>
    <row r="32" spans="1:4" x14ac:dyDescent="0.35">
      <c r="A32" s="7" t="s">
        <v>77</v>
      </c>
      <c r="B32" s="9">
        <v>0</v>
      </c>
      <c r="C32" s="9">
        <v>0</v>
      </c>
      <c r="D32" s="10">
        <v>0</v>
      </c>
    </row>
    <row r="33" spans="1:4" x14ac:dyDescent="0.35">
      <c r="A33" s="7" t="s">
        <v>78</v>
      </c>
      <c r="B33" s="9">
        <v>0</v>
      </c>
      <c r="C33" s="9">
        <v>0</v>
      </c>
      <c r="D33" s="10">
        <v>0</v>
      </c>
    </row>
    <row r="34" spans="1:4" x14ac:dyDescent="0.35">
      <c r="A34" s="7" t="s">
        <v>79</v>
      </c>
      <c r="B34" s="9">
        <v>0</v>
      </c>
      <c r="C34" s="9">
        <v>0</v>
      </c>
      <c r="D34" s="10">
        <v>0</v>
      </c>
    </row>
    <row r="35" spans="1:4" ht="15" thickBot="1" x14ac:dyDescent="0.4">
      <c r="A35" s="11" t="s">
        <v>80</v>
      </c>
      <c r="B35" s="12">
        <v>0</v>
      </c>
      <c r="C35" s="12">
        <v>0</v>
      </c>
      <c r="D35" s="13">
        <v>0</v>
      </c>
    </row>
    <row r="36" spans="1:4" x14ac:dyDescent="0.35">
      <c r="B36" s="14">
        <f>SUM(B12:B35)</f>
        <v>1</v>
      </c>
      <c r="C36" s="14">
        <f>SUM(C12:C35)</f>
        <v>0.99999999999999989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4A65-DFAF-4D6C-8099-976B82299F6C}">
  <sheetPr>
    <tabColor theme="8" tint="0.79998168889431442"/>
  </sheetPr>
  <dimension ref="A1:D36"/>
  <sheetViews>
    <sheetView topLeftCell="A13" zoomScaleNormal="100" workbookViewId="0">
      <selection activeCell="D11" sqref="D11"/>
    </sheetView>
  </sheetViews>
  <sheetFormatPr defaultRowHeight="14.5" x14ac:dyDescent="0.35"/>
  <cols>
    <col min="1" max="1" width="17.81640625" customWidth="1"/>
    <col min="2" max="4" width="17.81640625" style="3" customWidth="1"/>
  </cols>
  <sheetData>
    <row r="1" spans="1:4" x14ac:dyDescent="0.35">
      <c r="A1" s="32" t="s">
        <v>44</v>
      </c>
      <c r="B1" s="33"/>
      <c r="C1" s="33"/>
      <c r="D1" s="34"/>
    </row>
    <row r="2" spans="1:4" x14ac:dyDescent="0.35">
      <c r="A2" s="35"/>
      <c r="B2" s="36"/>
      <c r="C2" s="36"/>
      <c r="D2" s="37"/>
    </row>
    <row r="3" spans="1:4" x14ac:dyDescent="0.35">
      <c r="A3" s="38" t="s">
        <v>90</v>
      </c>
      <c r="B3" s="28"/>
      <c r="C3" s="28"/>
      <c r="D3" s="29"/>
    </row>
    <row r="4" spans="1:4" x14ac:dyDescent="0.35">
      <c r="A4" s="39"/>
      <c r="B4" s="40"/>
      <c r="C4" s="40"/>
      <c r="D4" s="41"/>
    </row>
    <row r="5" spans="1:4" x14ac:dyDescent="0.35">
      <c r="A5" s="6" t="s">
        <v>45</v>
      </c>
      <c r="B5" s="28">
        <v>955</v>
      </c>
      <c r="C5" s="28"/>
      <c r="D5" s="29"/>
    </row>
    <row r="6" spans="1:4" x14ac:dyDescent="0.35">
      <c r="A6" s="7" t="s">
        <v>46</v>
      </c>
      <c r="B6" s="28" t="s">
        <v>89</v>
      </c>
      <c r="C6" s="28"/>
      <c r="D6" s="29"/>
    </row>
    <row r="7" spans="1:4" x14ac:dyDescent="0.35">
      <c r="A7" s="7" t="s">
        <v>47</v>
      </c>
      <c r="B7" s="28" t="s">
        <v>48</v>
      </c>
      <c r="C7" s="28"/>
      <c r="D7" s="29"/>
    </row>
    <row r="8" spans="1:4" x14ac:dyDescent="0.35">
      <c r="A8" s="7" t="s">
        <v>49</v>
      </c>
      <c r="B8" s="28" t="s">
        <v>50</v>
      </c>
      <c r="C8" s="28"/>
      <c r="D8" s="29"/>
    </row>
    <row r="9" spans="1:4" x14ac:dyDescent="0.35">
      <c r="A9" s="7" t="s">
        <v>51</v>
      </c>
      <c r="B9" s="28">
        <v>2</v>
      </c>
      <c r="C9" s="28"/>
      <c r="D9" s="29"/>
    </row>
    <row r="10" spans="1:4" x14ac:dyDescent="0.35">
      <c r="A10" s="8"/>
      <c r="B10" s="30" t="s">
        <v>52</v>
      </c>
      <c r="C10" s="30"/>
      <c r="D10" s="31"/>
    </row>
    <row r="11" spans="1:4" x14ac:dyDescent="0.35">
      <c r="A11" s="7" t="s">
        <v>53</v>
      </c>
      <c r="B11" s="4" t="s">
        <v>54</v>
      </c>
      <c r="C11" s="4" t="s">
        <v>55</v>
      </c>
      <c r="D11" s="5" t="s">
        <v>56</v>
      </c>
    </row>
    <row r="12" spans="1:4" x14ac:dyDescent="0.35">
      <c r="A12" s="7" t="s">
        <v>57</v>
      </c>
      <c r="B12" s="9">
        <v>3.6239495798319331E-2</v>
      </c>
      <c r="C12" s="9">
        <v>3.7617554858934171E-2</v>
      </c>
      <c r="D12" s="10">
        <v>3.4846884899683211E-2</v>
      </c>
    </row>
    <row r="13" spans="1:4" x14ac:dyDescent="0.35">
      <c r="A13" s="7" t="s">
        <v>58</v>
      </c>
      <c r="B13" s="9">
        <v>1.9695378151260504E-2</v>
      </c>
      <c r="C13" s="9">
        <v>1.9331243469174503E-2</v>
      </c>
      <c r="D13" s="10">
        <v>2.0063357972544878E-2</v>
      </c>
    </row>
    <row r="14" spans="1:4" x14ac:dyDescent="0.35">
      <c r="A14" s="7" t="s">
        <v>59</v>
      </c>
      <c r="B14" s="9">
        <v>2.2058823529411766E-2</v>
      </c>
      <c r="C14" s="9">
        <v>2.3510971786833857E-2</v>
      </c>
      <c r="D14" s="10">
        <v>2.0591341077085535E-2</v>
      </c>
    </row>
    <row r="15" spans="1:4" x14ac:dyDescent="0.35">
      <c r="A15" s="7" t="s">
        <v>60</v>
      </c>
      <c r="B15" s="9">
        <v>2.389705882352941E-2</v>
      </c>
      <c r="C15" s="9">
        <v>2.1943573667711599E-2</v>
      </c>
      <c r="D15" s="10">
        <v>2.587117212249208E-2</v>
      </c>
    </row>
    <row r="16" spans="1:4" x14ac:dyDescent="0.35">
      <c r="A16" s="7" t="s">
        <v>61</v>
      </c>
      <c r="B16" s="9">
        <v>2.3371848739495799E-2</v>
      </c>
      <c r="C16" s="9">
        <v>2.037617554858934E-2</v>
      </c>
      <c r="D16" s="10">
        <v>2.6399155227032733E-2</v>
      </c>
    </row>
    <row r="17" spans="1:4" x14ac:dyDescent="0.35">
      <c r="A17" s="7" t="s">
        <v>62</v>
      </c>
      <c r="B17" s="9">
        <v>2.4422268907563025E-2</v>
      </c>
      <c r="C17" s="9">
        <v>1.8286311389759665E-2</v>
      </c>
      <c r="D17" s="10">
        <v>3.0623020063357972E-2</v>
      </c>
    </row>
    <row r="18" spans="1:4" x14ac:dyDescent="0.35">
      <c r="A18" s="7" t="s">
        <v>63</v>
      </c>
      <c r="B18" s="9">
        <v>4.385504201680672E-2</v>
      </c>
      <c r="C18" s="9">
        <v>3.657262277951933E-2</v>
      </c>
      <c r="D18" s="10">
        <v>5.1214361140443504E-2</v>
      </c>
    </row>
    <row r="19" spans="1:4" x14ac:dyDescent="0.35">
      <c r="A19" s="7" t="s">
        <v>64</v>
      </c>
      <c r="B19" s="9">
        <v>4.0966386554621849E-2</v>
      </c>
      <c r="C19" s="9">
        <v>3.2915360501567396E-2</v>
      </c>
      <c r="D19" s="10">
        <v>4.9102428722280884E-2</v>
      </c>
    </row>
    <row r="20" spans="1:4" x14ac:dyDescent="0.35">
      <c r="A20" s="7" t="s">
        <v>65</v>
      </c>
      <c r="B20" s="9">
        <v>5.5672268907563029E-2</v>
      </c>
      <c r="C20" s="9">
        <v>5.4336468129571575E-2</v>
      </c>
      <c r="D20" s="10">
        <v>5.7022175290390706E-2</v>
      </c>
    </row>
    <row r="21" spans="1:4" x14ac:dyDescent="0.35">
      <c r="A21" s="7" t="s">
        <v>66</v>
      </c>
      <c r="B21" s="9">
        <v>5.0682773109243698E-2</v>
      </c>
      <c r="C21" s="9">
        <v>4.7021943573667714E-2</v>
      </c>
      <c r="D21" s="10">
        <v>5.4382259767687437E-2</v>
      </c>
    </row>
    <row r="22" spans="1:4" x14ac:dyDescent="0.35">
      <c r="A22" s="7" t="s">
        <v>67</v>
      </c>
      <c r="B22" s="9">
        <v>5.2783613445378151E-2</v>
      </c>
      <c r="C22" s="9">
        <v>4.4932079414838039E-2</v>
      </c>
      <c r="D22" s="10">
        <v>6.0718057022175288E-2</v>
      </c>
    </row>
    <row r="23" spans="1:4" x14ac:dyDescent="0.35">
      <c r="A23" s="7" t="s">
        <v>68</v>
      </c>
      <c r="B23" s="9">
        <v>5.4359243697478993E-2</v>
      </c>
      <c r="C23" s="9">
        <v>5.7993730407523508E-2</v>
      </c>
      <c r="D23" s="10">
        <v>5.0686378035902854E-2</v>
      </c>
    </row>
    <row r="24" spans="1:4" x14ac:dyDescent="0.35">
      <c r="A24" s="7" t="s">
        <v>69</v>
      </c>
      <c r="B24" s="9">
        <v>6.1712184873949583E-2</v>
      </c>
      <c r="C24" s="9">
        <v>6.2695924764890276E-2</v>
      </c>
      <c r="D24" s="10">
        <v>6.0718057022175288E-2</v>
      </c>
    </row>
    <row r="25" spans="1:4" x14ac:dyDescent="0.35">
      <c r="A25" s="7" t="s">
        <v>70</v>
      </c>
      <c r="B25" s="9">
        <v>5.5934873949579834E-2</v>
      </c>
      <c r="C25" s="9">
        <v>5.7471264367816091E-2</v>
      </c>
      <c r="D25" s="10">
        <v>5.4382259767687437E-2</v>
      </c>
    </row>
    <row r="26" spans="1:4" x14ac:dyDescent="0.35">
      <c r="A26" s="7" t="s">
        <v>71</v>
      </c>
      <c r="B26" s="9">
        <v>4.385504201680672E-2</v>
      </c>
      <c r="C26" s="9">
        <v>4.3887147335423198E-2</v>
      </c>
      <c r="D26" s="10">
        <v>4.3822597676874339E-2</v>
      </c>
    </row>
    <row r="27" spans="1:4" x14ac:dyDescent="0.35">
      <c r="A27" s="7" t="s">
        <v>72</v>
      </c>
      <c r="B27" s="9">
        <v>5.0945378151260504E-2</v>
      </c>
      <c r="C27" s="9">
        <v>5.5381400208986416E-2</v>
      </c>
      <c r="D27" s="10">
        <v>4.6462513199577615E-2</v>
      </c>
    </row>
    <row r="28" spans="1:4" x14ac:dyDescent="0.35">
      <c r="A28" s="7" t="s">
        <v>73</v>
      </c>
      <c r="B28" s="9">
        <v>5.1733193277310921E-2</v>
      </c>
      <c r="C28" s="9">
        <v>5.7471264367816091E-2</v>
      </c>
      <c r="D28" s="10">
        <v>4.5934530095036959E-2</v>
      </c>
    </row>
    <row r="29" spans="1:4" x14ac:dyDescent="0.35">
      <c r="A29" s="7" t="s">
        <v>74</v>
      </c>
      <c r="B29" s="9">
        <v>5.8035714285714288E-2</v>
      </c>
      <c r="C29" s="9">
        <v>5.7993730407523508E-2</v>
      </c>
      <c r="D29" s="10">
        <v>5.8078141499472019E-2</v>
      </c>
    </row>
    <row r="30" spans="1:4" x14ac:dyDescent="0.35">
      <c r="A30" s="7" t="s">
        <v>75</v>
      </c>
      <c r="B30" s="9">
        <v>5.1995798319327734E-2</v>
      </c>
      <c r="C30" s="9">
        <v>5.6948798328108674E-2</v>
      </c>
      <c r="D30" s="10">
        <v>4.6990496304118265E-2</v>
      </c>
    </row>
    <row r="31" spans="1:4" x14ac:dyDescent="0.35">
      <c r="A31" s="7" t="s">
        <v>76</v>
      </c>
      <c r="B31" s="9">
        <v>4.4642857142857144E-2</v>
      </c>
      <c r="C31" s="9">
        <v>4.5454545454545456E-2</v>
      </c>
      <c r="D31" s="10">
        <v>4.3822597676874339E-2</v>
      </c>
    </row>
    <row r="32" spans="1:4" x14ac:dyDescent="0.35">
      <c r="A32" s="7" t="s">
        <v>77</v>
      </c>
      <c r="B32" s="9">
        <v>3.4926470588235295E-2</v>
      </c>
      <c r="C32" s="9">
        <v>3.7617554858934171E-2</v>
      </c>
      <c r="D32" s="10">
        <v>3.2206969376979935E-2</v>
      </c>
    </row>
    <row r="33" spans="1:4" x14ac:dyDescent="0.35">
      <c r="A33" s="7" t="s">
        <v>78</v>
      </c>
      <c r="B33" s="9">
        <v>3.0199579831932773E-2</v>
      </c>
      <c r="C33" s="9">
        <v>3.5005224660397072E-2</v>
      </c>
      <c r="D33" s="10">
        <v>2.5343189017951427E-2</v>
      </c>
    </row>
    <row r="34" spans="1:4" x14ac:dyDescent="0.35">
      <c r="A34" s="7" t="s">
        <v>79</v>
      </c>
      <c r="B34" s="9">
        <v>3.2825630252100842E-2</v>
      </c>
      <c r="C34" s="9">
        <v>3.7095088819226747E-2</v>
      </c>
      <c r="D34" s="10">
        <v>2.8511087645195353E-2</v>
      </c>
    </row>
    <row r="35" spans="1:4" ht="15" thickBot="1" x14ac:dyDescent="0.4">
      <c r="A35" s="11" t="s">
        <v>80</v>
      </c>
      <c r="B35" s="12">
        <v>3.5189075630252101E-2</v>
      </c>
      <c r="C35" s="12">
        <v>3.8140020898641588E-2</v>
      </c>
      <c r="D35" s="13">
        <v>3.2206969376979935E-2</v>
      </c>
    </row>
    <row r="36" spans="1:4" x14ac:dyDescent="0.35">
      <c r="B36" s="14">
        <f>SUM(B12:B35)</f>
        <v>1</v>
      </c>
      <c r="C36" s="14">
        <f>SUM(C12:C35)</f>
        <v>1</v>
      </c>
      <c r="D36" s="14">
        <f>SUM(D12:D35)</f>
        <v>1</v>
      </c>
    </row>
  </sheetData>
  <mergeCells count="9">
    <mergeCell ref="B8:D8"/>
    <mergeCell ref="B9:D9"/>
    <mergeCell ref="B10:D10"/>
    <mergeCell ref="A1:D2"/>
    <mergeCell ref="A3:D3"/>
    <mergeCell ref="A4:D4"/>
    <mergeCell ref="B5:D5"/>
    <mergeCell ref="B6:D6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Land Uses with Time-of-Day Data</vt:lpstr>
      <vt:lpstr>035 - Truck and Trailer Parking</vt:lpstr>
      <vt:lpstr>110 - General Light Industrial</vt:lpstr>
      <vt:lpstr>140 - Manufacturing</vt:lpstr>
      <vt:lpstr>150 - Warehouse</vt:lpstr>
      <vt:lpstr>151 - Mini-Warehouse</vt:lpstr>
      <vt:lpstr>154 -Hi-Cube Transload Whse REV</vt:lpstr>
      <vt:lpstr>155 -Hi-Cube Fulfilment Whse</vt:lpstr>
      <vt:lpstr>170 - Utility</vt:lpstr>
      <vt:lpstr>180-Specialty Trade Contractor</vt:lpstr>
      <vt:lpstr>254 - Assisted Living</vt:lpstr>
      <vt:lpstr>312 - Limited-Service Hotel</vt:lpstr>
      <vt:lpstr>320 - Motel </vt:lpstr>
      <vt:lpstr>565 - Day Care Center</vt:lpstr>
      <vt:lpstr>610 - Hospital</vt:lpstr>
      <vt:lpstr>620 - Nursing Home</vt:lpstr>
      <vt:lpstr>630 - Walk-In Clinic</vt:lpstr>
      <vt:lpstr>640-Animal Hospital Vet. Clinic</vt:lpstr>
      <vt:lpstr>710 - General Office Building</vt:lpstr>
      <vt:lpstr>712 - Small Office Building</vt:lpstr>
      <vt:lpstr>720 - Medical-Dental Office Bld</vt:lpstr>
      <vt:lpstr>730-Government Office Building</vt:lpstr>
      <vt:lpstr>812 -Bldg Matls &amp; Lumber Store </vt:lpstr>
      <vt:lpstr>814 - Variety Store</vt:lpstr>
      <vt:lpstr>816 - Hardware &amp; Paint Store</vt:lpstr>
      <vt:lpstr>820 - Shopping Center</vt:lpstr>
      <vt:lpstr>840 - Automobile Sales (New)</vt:lpstr>
      <vt:lpstr>841 - Automobile Sales (Used)</vt:lpstr>
      <vt:lpstr>842-Recreational Vehicle Sales</vt:lpstr>
      <vt:lpstr>843 - Automobile Parts Sales</vt:lpstr>
      <vt:lpstr>881 - Pharm-Drugstore w DT </vt:lpstr>
      <vt:lpstr>890 - Furniture-Flooring Store</vt:lpstr>
      <vt:lpstr>912 - Drive-In Bank</vt:lpstr>
      <vt:lpstr>932 - High-Turnover (SD) Rest</vt:lpstr>
      <vt:lpstr>933-Fst Food Rest wo Drv Thru</vt:lpstr>
      <vt:lpstr>934 - Fast Food Rest w Drv Thru</vt:lpstr>
      <vt:lpstr>941-Quick Lubric. Vehicle Shop</vt:lpstr>
      <vt:lpstr>943-Auto. Parts and Service Ctr</vt:lpstr>
      <vt:lpstr>945-Conv Store Gas Station</vt:lpstr>
      <vt:lpstr>955 - Travel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Broshears</dc:creator>
  <cp:lastModifiedBy>Lisa Fontana Tierney</cp:lastModifiedBy>
  <dcterms:created xsi:type="dcterms:W3CDTF">2025-06-23T18:52:09Z</dcterms:created>
  <dcterms:modified xsi:type="dcterms:W3CDTF">2025-07-02T19:00:26Z</dcterms:modified>
</cp:coreProperties>
</file>