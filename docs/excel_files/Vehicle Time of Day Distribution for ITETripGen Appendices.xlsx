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rip Generation\Appendices\12th Edition\2. TOD Distributions\TOD - Vehicle\"/>
    </mc:Choice>
  </mc:AlternateContent>
  <xr:revisionPtr revIDLastSave="0" documentId="13_ncr:1_{390A4C9E-B7D0-4363-84BD-6B3509DA437A}" xr6:coauthVersionLast="47" xr6:coauthVersionMax="47" xr10:uidLastSave="{00000000-0000-0000-0000-000000000000}"/>
  <bookViews>
    <workbookView xWindow="71880" yWindow="-120" windowWidth="29040" windowHeight="15720" xr2:uid="{00000000-000D-0000-FFFF-FFFF00000000}"/>
  </bookViews>
  <sheets>
    <sheet name="Land Uses with Time-of-Day" sheetId="126" r:id="rId1"/>
    <sheet name="035 - Truck and Trailer Parking" sheetId="117" r:id="rId2"/>
    <sheet name="110 - General Light Industrial" sheetId="1" r:id="rId3"/>
    <sheet name="140 - Manufacturing" sheetId="2" r:id="rId4"/>
    <sheet name="150 - Warehouse" sheetId="3" r:id="rId5"/>
    <sheet name="151 - Mini-Warehouse" sheetId="4" r:id="rId6"/>
    <sheet name="154 - High-Cube Transload Whse" sheetId="7" r:id="rId7"/>
    <sheet name="155 - High-Cube Fulfillmt Whse" sheetId="118" r:id="rId8"/>
    <sheet name="156 - High-Cube Parcel Hub Whse" sheetId="9" r:id="rId9"/>
    <sheet name="160 - Data Center" sheetId="119" r:id="rId10"/>
    <sheet name="170 - Utility" sheetId="10" r:id="rId11"/>
    <sheet name="180-Specialty Trade Contractor" sheetId="11" r:id="rId12"/>
    <sheet name="210-Single-Family Detached" sheetId="12" r:id="rId13"/>
    <sheet name="215-Single-Family Attached" sheetId="78" r:id="rId14"/>
    <sheet name="220-Multifam. Hous. (Low-Rise) " sheetId="13" r:id="rId15"/>
    <sheet name="221-Multifamily (Mid-Rise)" sheetId="79" r:id="rId16"/>
    <sheet name="222-Multifam. (High-Rise)" sheetId="80" r:id="rId17"/>
    <sheet name="223 - Affordable Housing" sheetId="81" r:id="rId18"/>
    <sheet name="225 Off-Campus Student Apt (Lo)" sheetId="82" r:id="rId19"/>
    <sheet name="226 Off-Campus Student Apt (Mi)" sheetId="83" r:id="rId20"/>
    <sheet name="230-Low-Rise Resid&amp;Grd Flr Comm" sheetId="16" r:id="rId21"/>
    <sheet name="251 Sr Adult Housing " sheetId="129" r:id="rId22"/>
    <sheet name="253 - Congregate Care Facility" sheetId="85" r:id="rId23"/>
    <sheet name="254 - Assisted Living" sheetId="19" r:id="rId24"/>
    <sheet name="260 - Recreational Homes" sheetId="130" r:id="rId25"/>
    <sheet name="310 - Hotel" sheetId="87" r:id="rId26"/>
    <sheet name="311 - All-Suites Hotel" sheetId="88" r:id="rId27"/>
    <sheet name="312 - Limited-Service Hotel" sheetId="89" r:id="rId28"/>
    <sheet name="320 - Motel " sheetId="24" r:id="rId29"/>
    <sheet name="330 -Resort Hotel " sheetId="120" r:id="rId30"/>
    <sheet name="416 - Campground-RV Park" sheetId="90" r:id="rId31"/>
    <sheet name="462-Prof. Baseball Stadium" sheetId="26" r:id="rId32"/>
    <sheet name="489 - Pickleball Courts" sheetId="91" r:id="rId33"/>
    <sheet name="492 - Health-Fitness Club" sheetId="121" r:id="rId34"/>
    <sheet name="495-Recreational Community Ctr." sheetId="27" r:id="rId35"/>
    <sheet name="520 - Elementary School" sheetId="28" r:id="rId36"/>
    <sheet name="522 - Middle-Junior High School" sheetId="29" r:id="rId37"/>
    <sheet name="525 - High School" sheetId="30" r:id="rId38"/>
    <sheet name="528 - School District Office" sheetId="32" r:id="rId39"/>
    <sheet name="534 - Private High School " sheetId="92" r:id="rId40"/>
    <sheet name="536 - Charter Elementary School" sheetId="31" r:id="rId41"/>
    <sheet name="540 - Junior-Community College" sheetId="33" r:id="rId42"/>
    <sheet name="550 - UniversityCollege" sheetId="94" r:id="rId43"/>
    <sheet name="565 - Day Care Center" sheetId="34" r:id="rId44"/>
    <sheet name="571 - Adult Detention Facility" sheetId="95" r:id="rId45"/>
    <sheet name="610 - Hospital" sheetId="35" r:id="rId46"/>
    <sheet name="620 - Nursing Home" sheetId="36" r:id="rId47"/>
    <sheet name="630 - Walk-In Clinic" sheetId="37" r:id="rId48"/>
    <sheet name="640-Animal Hospital Vet. Clinic" sheetId="38" r:id="rId49"/>
    <sheet name="650-Free-Standing Emergency Rm" sheetId="39" r:id="rId50"/>
    <sheet name="710 - General Office Building" sheetId="40" r:id="rId51"/>
    <sheet name="712 - Small Office Building" sheetId="41" r:id="rId52"/>
    <sheet name="720 - Medical-Dental Office Bld" sheetId="96" r:id="rId53"/>
    <sheet name="730-Government Office Building" sheetId="43" r:id="rId54"/>
    <sheet name="731 - State Motor Vehicles Dept" sheetId="44" r:id="rId55"/>
    <sheet name="812 -Bldg Matls &amp; Lumber Store " sheetId="45" r:id="rId56"/>
    <sheet name="813 - F-S Discount Superstore" sheetId="97" r:id="rId57"/>
    <sheet name="814 - Variety Store" sheetId="47" r:id="rId58"/>
    <sheet name="815 - F-S Discount Store" sheetId="98" r:id="rId59"/>
    <sheet name="816 - Hardware &amp; Paint Store" sheetId="48" r:id="rId60"/>
    <sheet name="820 - Shopping Center" sheetId="113" r:id="rId61"/>
    <sheet name="821 - Shopping Plaza" sheetId="114" r:id="rId62"/>
    <sheet name="822 - Strip Retail Plaza" sheetId="115" r:id="rId63"/>
    <sheet name="840 - Automobile Sales (New)" sheetId="50" r:id="rId64"/>
    <sheet name="841 - Automobile Sales (Used)" sheetId="51" r:id="rId65"/>
    <sheet name="842-Recreational Vehicle Sales" sheetId="52" r:id="rId66"/>
    <sheet name="843 - Automobile Parts Sales" sheetId="53" r:id="rId67"/>
    <sheet name="848 - Tire Store" sheetId="54" r:id="rId68"/>
    <sheet name="850 - Supermarket" sheetId="99" r:id="rId69"/>
    <sheet name="857 - Discount Club" sheetId="100" r:id="rId70"/>
    <sheet name="861 - Sporting Goods Superstore" sheetId="101" r:id="rId71"/>
    <sheet name="862-Home Improve Superstore" sheetId="122" r:id="rId72"/>
    <sheet name="863 - Electronics Superstore" sheetId="102" r:id="rId73"/>
    <sheet name="881 - Pharm-Drugstore w DT " sheetId="103" r:id="rId74"/>
    <sheet name="882 - Cannabis Dispensary" sheetId="104" r:id="rId75"/>
    <sheet name="890 - Furniture-Flooring Store" sheetId="63" r:id="rId76"/>
    <sheet name="899 - Liquor Store" sheetId="64" r:id="rId77"/>
    <sheet name="912 - Drive-In Bank" sheetId="105" r:id="rId78"/>
    <sheet name="930 - Fast Casual Restaurant" sheetId="106" r:id="rId79"/>
    <sheet name="932 - High-Turnover (SD) Rest" sheetId="107" r:id="rId80"/>
    <sheet name="933-Fst Food Rest wo Drv Thru" sheetId="68" r:id="rId81"/>
    <sheet name="934 - Fast Food Rest w Drv" sheetId="133" r:id="rId82"/>
    <sheet name="937-Coffee-Donut Shop w Dr Thr" sheetId="70" r:id="rId83"/>
    <sheet name="941-Quick Lubrication Veh. Stop" sheetId="71" r:id="rId84"/>
    <sheet name="942 - Automobile Care Center" sheetId="123" r:id="rId85"/>
    <sheet name="943-Auto. Parts and Service Ctr" sheetId="72" r:id="rId86"/>
    <sheet name="944 - Gasoline-Service Station" sheetId="109" r:id="rId87"/>
    <sheet name="945-Conv Store Gas Station" sheetId="74" r:id="rId88"/>
    <sheet name="948 - Automated Car Wash" sheetId="124" r:id="rId89"/>
    <sheet name="949-Car Wash and Detail Ctr." sheetId="75" r:id="rId90"/>
    <sheet name="960 - Rental Car Facility" sheetId="125" r:id="rId91"/>
    <sheet name="970 Wine Tasting Room" sheetId="131" r:id="rId92"/>
    <sheet name="971 Brewery Taproom" sheetId="111" r:id="rId9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6" i="133" l="1"/>
  <c r="O36" i="133"/>
  <c r="N36" i="133"/>
  <c r="M36" i="133"/>
  <c r="L36" i="133"/>
  <c r="K36" i="133"/>
  <c r="J36" i="133"/>
  <c r="I36" i="133"/>
  <c r="H36" i="133"/>
  <c r="G36" i="133"/>
  <c r="F36" i="133"/>
  <c r="E36" i="133"/>
  <c r="D36" i="133"/>
  <c r="C36" i="133"/>
  <c r="B36" i="133"/>
  <c r="K36" i="131" l="1"/>
  <c r="H36" i="131"/>
  <c r="E36" i="131"/>
  <c r="B36" i="131"/>
  <c r="J31" i="130" l="1"/>
  <c r="I31" i="130"/>
  <c r="H31" i="130"/>
  <c r="G31" i="130"/>
  <c r="F31" i="130"/>
  <c r="E31" i="130"/>
  <c r="D31" i="130"/>
  <c r="C31" i="130"/>
  <c r="B31" i="130"/>
  <c r="J36" i="129"/>
  <c r="I36" i="129"/>
  <c r="H36" i="129"/>
  <c r="G36" i="129"/>
  <c r="F36" i="129"/>
  <c r="E36" i="129"/>
  <c r="D36" i="129"/>
  <c r="C36" i="129"/>
  <c r="B36" i="129"/>
  <c r="C36" i="83" l="1"/>
  <c r="D36" i="83"/>
  <c r="E36" i="83"/>
  <c r="F36" i="83"/>
  <c r="G36" i="83"/>
  <c r="B36" i="83"/>
  <c r="C36" i="12" l="1"/>
  <c r="D36" i="12"/>
  <c r="E36" i="12"/>
  <c r="F36" i="12"/>
  <c r="G36" i="12"/>
  <c r="H36" i="12"/>
  <c r="I36" i="12"/>
  <c r="J36" i="12"/>
  <c r="C36" i="111"/>
  <c r="D36" i="111"/>
  <c r="E36" i="111"/>
  <c r="F36" i="111"/>
  <c r="G36" i="111"/>
  <c r="H36" i="111"/>
  <c r="I36" i="111"/>
  <c r="J36" i="111"/>
  <c r="C36" i="125"/>
  <c r="D36" i="125"/>
  <c r="E36" i="125"/>
  <c r="F36" i="125"/>
  <c r="G36" i="125"/>
  <c r="B36" i="125"/>
  <c r="B36" i="124"/>
  <c r="G36" i="124"/>
  <c r="F36" i="124"/>
  <c r="E36" i="124"/>
  <c r="D36" i="124"/>
  <c r="C36" i="124"/>
  <c r="C36" i="74"/>
  <c r="D36" i="74"/>
  <c r="E36" i="74"/>
  <c r="F36" i="74"/>
  <c r="G36" i="74"/>
  <c r="B36" i="74"/>
  <c r="J36" i="109"/>
  <c r="I36" i="109"/>
  <c r="H36" i="109"/>
  <c r="C36" i="109"/>
  <c r="D36" i="109"/>
  <c r="E36" i="109"/>
  <c r="F36" i="109"/>
  <c r="G36" i="109"/>
  <c r="G36" i="123"/>
  <c r="F36" i="123"/>
  <c r="E36" i="123"/>
  <c r="D36" i="123"/>
  <c r="C36" i="123"/>
  <c r="B36" i="123"/>
  <c r="C36" i="107"/>
  <c r="D36" i="107"/>
  <c r="E36" i="107"/>
  <c r="F36" i="107"/>
  <c r="G36" i="107"/>
  <c r="H36" i="107"/>
  <c r="I36" i="107"/>
  <c r="J36" i="107"/>
  <c r="C36" i="106"/>
  <c r="D36" i="106"/>
  <c r="C36" i="105"/>
  <c r="D36" i="105"/>
  <c r="E36" i="105"/>
  <c r="F36" i="105"/>
  <c r="G36" i="105"/>
  <c r="C36" i="104" l="1"/>
  <c r="D36" i="104"/>
  <c r="E36" i="104"/>
  <c r="F36" i="104"/>
  <c r="G36" i="104"/>
  <c r="C36" i="103"/>
  <c r="D36" i="103"/>
  <c r="E36" i="103"/>
  <c r="F36" i="103"/>
  <c r="G36" i="103"/>
  <c r="H36" i="103"/>
  <c r="I36" i="103"/>
  <c r="J36" i="103"/>
  <c r="C36" i="102"/>
  <c r="D36" i="102"/>
  <c r="E36" i="102"/>
  <c r="F36" i="102"/>
  <c r="G36" i="102"/>
  <c r="H36" i="102"/>
  <c r="I36" i="102"/>
  <c r="J36" i="102"/>
  <c r="C28" i="122"/>
  <c r="D28" i="122"/>
  <c r="E28" i="122"/>
  <c r="F28" i="122"/>
  <c r="G28" i="122"/>
  <c r="H28" i="122"/>
  <c r="I28" i="122"/>
  <c r="J28" i="122"/>
  <c r="K28" i="122"/>
  <c r="L28" i="122"/>
  <c r="M28" i="122"/>
  <c r="N28" i="122"/>
  <c r="O28" i="122"/>
  <c r="P28" i="122"/>
  <c r="Q28" i="122"/>
  <c r="R28" i="122"/>
  <c r="S28" i="122"/>
  <c r="B28" i="122"/>
  <c r="C36" i="101" l="1"/>
  <c r="D36" i="101"/>
  <c r="E36" i="101"/>
  <c r="F36" i="101"/>
  <c r="G36" i="101"/>
  <c r="H36" i="101"/>
  <c r="I36" i="101"/>
  <c r="J36" i="101"/>
  <c r="K36" i="101"/>
  <c r="L36" i="101"/>
  <c r="M36" i="101"/>
  <c r="N36" i="101"/>
  <c r="O36" i="101"/>
  <c r="P36" i="101"/>
  <c r="C36" i="99"/>
  <c r="D36" i="99"/>
  <c r="E36" i="99"/>
  <c r="F36" i="99"/>
  <c r="G36" i="99"/>
  <c r="H36" i="99"/>
  <c r="I36" i="99"/>
  <c r="J36" i="99"/>
  <c r="K36" i="99"/>
  <c r="L36" i="99"/>
  <c r="M36" i="99"/>
  <c r="N36" i="99"/>
  <c r="O36" i="99"/>
  <c r="P36" i="99"/>
  <c r="Q36" i="99"/>
  <c r="R36" i="99"/>
  <c r="S36" i="99"/>
  <c r="B36" i="115"/>
  <c r="E36" i="114"/>
  <c r="B36" i="114"/>
  <c r="G36" i="113"/>
  <c r="F36" i="113"/>
  <c r="E36" i="113"/>
  <c r="C36" i="113"/>
  <c r="D36" i="113"/>
  <c r="B36" i="113"/>
  <c r="C36" i="98"/>
  <c r="D36" i="98"/>
  <c r="E36" i="98"/>
  <c r="F36" i="98"/>
  <c r="G36" i="98"/>
  <c r="H36" i="98"/>
  <c r="I36" i="98"/>
  <c r="J36" i="98"/>
  <c r="C36" i="97"/>
  <c r="D36" i="97"/>
  <c r="E36" i="97"/>
  <c r="F36" i="97"/>
  <c r="G36" i="97"/>
  <c r="H36" i="97"/>
  <c r="I36" i="97"/>
  <c r="J36" i="97"/>
  <c r="D36" i="96" l="1"/>
  <c r="C36" i="96"/>
  <c r="B36" i="96"/>
  <c r="G36" i="96"/>
  <c r="F36" i="96"/>
  <c r="E36" i="96"/>
  <c r="D36" i="95" l="1"/>
  <c r="C36" i="95"/>
  <c r="B36" i="95"/>
  <c r="B36" i="121" l="1"/>
  <c r="D36" i="121"/>
  <c r="C36" i="121"/>
  <c r="C36" i="91"/>
  <c r="D36" i="91"/>
  <c r="E36" i="91"/>
  <c r="F36" i="91"/>
  <c r="G36" i="91"/>
  <c r="C36" i="90"/>
  <c r="D36" i="90"/>
  <c r="E36" i="90"/>
  <c r="F36" i="90"/>
  <c r="G36" i="90"/>
  <c r="H36" i="90"/>
  <c r="I36" i="90"/>
  <c r="J36" i="90"/>
  <c r="K36" i="90"/>
  <c r="L36" i="90"/>
  <c r="M36" i="90"/>
  <c r="C36" i="120" l="1"/>
  <c r="D36" i="120"/>
  <c r="E36" i="120"/>
  <c r="F36" i="120"/>
  <c r="G36" i="120"/>
  <c r="H36" i="120"/>
  <c r="I36" i="120"/>
  <c r="J36" i="120"/>
  <c r="B36" i="120"/>
  <c r="C36" i="89"/>
  <c r="D36" i="89"/>
  <c r="E36" i="89"/>
  <c r="F36" i="89"/>
  <c r="G36" i="89"/>
  <c r="H36" i="89"/>
  <c r="I36" i="89"/>
  <c r="J36" i="89"/>
  <c r="K36" i="89"/>
  <c r="L36" i="89"/>
  <c r="M36" i="89"/>
  <c r="M36" i="88"/>
  <c r="L36" i="88"/>
  <c r="J36" i="88"/>
  <c r="E36" i="88"/>
  <c r="C36" i="88"/>
  <c r="D36" i="88"/>
  <c r="F36" i="88"/>
  <c r="G36" i="88"/>
  <c r="H36" i="88"/>
  <c r="I36" i="88"/>
  <c r="K36" i="88"/>
  <c r="C31" i="87"/>
  <c r="D31" i="87"/>
  <c r="E31" i="87"/>
  <c r="F31" i="87"/>
  <c r="G31" i="87"/>
  <c r="H31" i="87"/>
  <c r="I31" i="87"/>
  <c r="J31" i="87"/>
  <c r="C36" i="16" l="1"/>
  <c r="D36" i="16"/>
  <c r="B36" i="16"/>
  <c r="J36" i="82"/>
  <c r="I36" i="82"/>
  <c r="H36" i="82"/>
  <c r="E36" i="82"/>
  <c r="F36" i="82"/>
  <c r="G36" i="82"/>
  <c r="R36" i="81"/>
  <c r="N36" i="81"/>
  <c r="M36" i="81"/>
  <c r="L36" i="81"/>
  <c r="F36" i="81"/>
  <c r="C36" i="81"/>
  <c r="D36" i="81"/>
  <c r="E36" i="81"/>
  <c r="G36" i="81"/>
  <c r="H36" i="81"/>
  <c r="I36" i="81"/>
  <c r="J36" i="81"/>
  <c r="O36" i="81"/>
  <c r="P36" i="81"/>
  <c r="Q36" i="81"/>
  <c r="S36" i="81"/>
  <c r="T36" i="81"/>
  <c r="U36" i="81"/>
  <c r="V36" i="81"/>
  <c r="W36" i="81"/>
  <c r="B36" i="81"/>
  <c r="G36" i="80"/>
  <c r="F36" i="80"/>
  <c r="E36" i="80"/>
  <c r="B36" i="80"/>
  <c r="C36" i="80"/>
  <c r="D36" i="80"/>
  <c r="M36" i="79"/>
  <c r="L36" i="79"/>
  <c r="K36" i="79"/>
  <c r="C36" i="79"/>
  <c r="D36" i="79"/>
  <c r="E36" i="79"/>
  <c r="F36" i="79"/>
  <c r="G36" i="79"/>
  <c r="H36" i="79"/>
  <c r="I36" i="79"/>
  <c r="J36" i="79"/>
  <c r="B36" i="79"/>
  <c r="G36" i="13"/>
  <c r="F36" i="13"/>
  <c r="E36" i="13"/>
  <c r="B36" i="13"/>
  <c r="C36" i="13"/>
  <c r="D36" i="13"/>
  <c r="B36" i="119" l="1"/>
  <c r="D36" i="119"/>
  <c r="C36" i="119"/>
  <c r="D36" i="118"/>
  <c r="C36" i="118"/>
  <c r="B36" i="118"/>
  <c r="J36" i="117" l="1"/>
  <c r="I36" i="117"/>
  <c r="H36" i="117"/>
  <c r="E36" i="117"/>
  <c r="F36" i="117"/>
  <c r="G36" i="117"/>
  <c r="D36" i="117"/>
  <c r="C36" i="117"/>
  <c r="B36" i="117"/>
  <c r="C36" i="2" l="1"/>
  <c r="D36" i="2"/>
  <c r="C36" i="3"/>
  <c r="D36" i="3"/>
  <c r="C36" i="4"/>
  <c r="D36" i="4"/>
  <c r="C36" i="7"/>
  <c r="D36" i="7"/>
  <c r="C36" i="9"/>
  <c r="D36" i="9"/>
  <c r="C36" i="10"/>
  <c r="D36" i="10"/>
  <c r="C36" i="11"/>
  <c r="D36" i="11"/>
  <c r="C36" i="78"/>
  <c r="D36" i="78"/>
  <c r="C36" i="82"/>
  <c r="D36" i="82"/>
  <c r="C36" i="85"/>
  <c r="D36" i="85"/>
  <c r="C36" i="19"/>
  <c r="D36" i="19"/>
  <c r="C36" i="24"/>
  <c r="D36" i="24"/>
  <c r="C36" i="26"/>
  <c r="D36" i="26"/>
  <c r="C36" i="27"/>
  <c r="D36" i="27"/>
  <c r="C36" i="28"/>
  <c r="D36" i="28"/>
  <c r="C36" i="29"/>
  <c r="D36" i="29"/>
  <c r="C36" i="30"/>
  <c r="D36" i="30"/>
  <c r="C36" i="32"/>
  <c r="D36" i="32"/>
  <c r="C36" i="92"/>
  <c r="D36" i="92"/>
  <c r="C36" i="31"/>
  <c r="D36" i="31"/>
  <c r="C36" i="33"/>
  <c r="D36" i="33"/>
  <c r="C36" i="94"/>
  <c r="D36" i="94"/>
  <c r="C36" i="34"/>
  <c r="D36" i="34"/>
  <c r="C36" i="35"/>
  <c r="D36" i="35"/>
  <c r="C36" i="36"/>
  <c r="D36" i="36"/>
  <c r="C36" i="37"/>
  <c r="D36" i="37"/>
  <c r="C36" i="38"/>
  <c r="D36" i="38"/>
  <c r="C36" i="39"/>
  <c r="D36" i="39"/>
  <c r="C36" i="40"/>
  <c r="D36" i="40"/>
  <c r="C36" i="41"/>
  <c r="D36" i="41"/>
  <c r="C36" i="43"/>
  <c r="D36" i="43"/>
  <c r="C36" i="44"/>
  <c r="D36" i="44"/>
  <c r="C36" i="45"/>
  <c r="D36" i="45"/>
  <c r="C36" i="47"/>
  <c r="D36" i="47"/>
  <c r="C36" i="48"/>
  <c r="D36" i="48"/>
  <c r="C108" i="113"/>
  <c r="D108" i="113"/>
  <c r="C107" i="114"/>
  <c r="D107" i="114"/>
  <c r="C108" i="115"/>
  <c r="D108" i="115"/>
  <c r="C36" i="50"/>
  <c r="D36" i="50"/>
  <c r="C36" i="51"/>
  <c r="D36" i="51"/>
  <c r="C36" i="52"/>
  <c r="D36" i="52"/>
  <c r="C36" i="53"/>
  <c r="D36" i="53"/>
  <c r="C36" i="54"/>
  <c r="D36" i="54"/>
  <c r="C36" i="100"/>
  <c r="D36" i="100"/>
  <c r="C36" i="63"/>
  <c r="D36" i="63"/>
  <c r="C36" i="64"/>
  <c r="D36" i="64"/>
  <c r="C36" i="68"/>
  <c r="D36" i="68"/>
  <c r="C36" i="70"/>
  <c r="D36" i="70"/>
  <c r="C36" i="71"/>
  <c r="D36" i="71"/>
  <c r="C36" i="72"/>
  <c r="D36" i="72"/>
  <c r="C36" i="75"/>
  <c r="D36" i="75"/>
  <c r="C36" i="1"/>
  <c r="D36" i="1"/>
  <c r="B36" i="2"/>
  <c r="B36" i="3"/>
  <c r="B36" i="4"/>
  <c r="B36" i="7"/>
  <c r="B36" i="9"/>
  <c r="B36" i="10"/>
  <c r="B36" i="11"/>
  <c r="B36" i="12"/>
  <c r="B36" i="78"/>
  <c r="B36" i="82"/>
  <c r="B36" i="85"/>
  <c r="B36" i="19"/>
  <c r="B31" i="87"/>
  <c r="B36" i="88"/>
  <c r="B36" i="89"/>
  <c r="B36" i="24"/>
  <c r="B36" i="90"/>
  <c r="B36" i="26"/>
  <c r="B36" i="91"/>
  <c r="B36" i="27"/>
  <c r="B36" i="28"/>
  <c r="B36" i="29"/>
  <c r="B36" i="30"/>
  <c r="B36" i="32"/>
  <c r="B36" i="92"/>
  <c r="B36" i="31"/>
  <c r="B36" i="33"/>
  <c r="B36" i="94"/>
  <c r="B36" i="34"/>
  <c r="B36" i="35"/>
  <c r="B36" i="36"/>
  <c r="B36" i="37"/>
  <c r="B36" i="38"/>
  <c r="B36" i="39"/>
  <c r="B36" i="40"/>
  <c r="B36" i="41"/>
  <c r="B36" i="43"/>
  <c r="B36" i="44"/>
  <c r="B36" i="45"/>
  <c r="B36" i="97"/>
  <c r="B36" i="47"/>
  <c r="B36" i="98"/>
  <c r="B36" i="48"/>
  <c r="B108" i="113"/>
  <c r="B107" i="114"/>
  <c r="B108" i="115"/>
  <c r="B36" i="50"/>
  <c r="B36" i="51"/>
  <c r="B36" i="52"/>
  <c r="B36" i="53"/>
  <c r="B36" i="54"/>
  <c r="B36" i="99"/>
  <c r="B36" i="100"/>
  <c r="B36" i="101"/>
  <c r="B36" i="102"/>
  <c r="B36" i="103"/>
  <c r="B36" i="104"/>
  <c r="B36" i="63"/>
  <c r="B36" i="64"/>
  <c r="B36" i="105"/>
  <c r="B36" i="106"/>
  <c r="B36" i="107"/>
  <c r="B36" i="68"/>
  <c r="B36" i="70"/>
  <c r="B36" i="71"/>
  <c r="B36" i="72"/>
  <c r="B36" i="109"/>
  <c r="B36" i="75"/>
  <c r="B36" i="111"/>
  <c r="B36" i="1"/>
</calcChain>
</file>

<file path=xl/sharedStrings.xml><?xml version="1.0" encoding="utf-8"?>
<sst xmlns="http://schemas.openxmlformats.org/spreadsheetml/2006/main" count="4325" uniqueCount="204">
  <si>
    <t>Land Use</t>
  </si>
  <si>
    <t>General Light Industrial</t>
  </si>
  <si>
    <t>Manufacturing</t>
  </si>
  <si>
    <t>Mini-Warehouse</t>
  </si>
  <si>
    <t>High-Cube Transload and Short-Term Storage Warehouse</t>
  </si>
  <si>
    <t>High-Cube Parcel Hub Warehouse</t>
  </si>
  <si>
    <t>Utility</t>
  </si>
  <si>
    <t>Specialty Trade Contractor</t>
  </si>
  <si>
    <t>Single-Family Detached Housing</t>
  </si>
  <si>
    <t>Multifamily Housing (Low-Rise)</t>
  </si>
  <si>
    <t>Multifamily Housing (Mid-Rise)</t>
  </si>
  <si>
    <t>Assisted Living</t>
  </si>
  <si>
    <t>Hotel</t>
  </si>
  <si>
    <t>Motel</t>
  </si>
  <si>
    <t>Professional Baseball Stadium</t>
  </si>
  <si>
    <t>Recreational Community Center</t>
  </si>
  <si>
    <t>Elementary School</t>
  </si>
  <si>
    <t>Middle School/Junior High School</t>
  </si>
  <si>
    <t>High School</t>
  </si>
  <si>
    <t>Charter Elementary School</t>
  </si>
  <si>
    <t>School District Office</t>
  </si>
  <si>
    <t>Junior/Community College</t>
  </si>
  <si>
    <t>Day Care Center</t>
  </si>
  <si>
    <t>Hospital</t>
  </si>
  <si>
    <t>Nursing Home</t>
  </si>
  <si>
    <t>Animal Hospital/Veterinary Clinic</t>
  </si>
  <si>
    <t>Free-Standing Emergency Room</t>
  </si>
  <si>
    <t>General Office Building</t>
  </si>
  <si>
    <t>Small Office Building</t>
  </si>
  <si>
    <t>Medical-Dental Office Building</t>
  </si>
  <si>
    <t>Government Office Building</t>
  </si>
  <si>
    <t>State Motor Vehicles Department</t>
  </si>
  <si>
    <t>Building Materials and Lumber Store</t>
  </si>
  <si>
    <t>Free-Standing Discount Superstore</t>
  </si>
  <si>
    <t>Variety Store</t>
  </si>
  <si>
    <t>Hardware/Paint Store</t>
  </si>
  <si>
    <t>Automobile Sales (New)</t>
  </si>
  <si>
    <t>Automobile Sales (Used)</t>
  </si>
  <si>
    <t>Recreational Vehicle Sales</t>
  </si>
  <si>
    <t>Automobile Parts Sales</t>
  </si>
  <si>
    <t>Tire Store</t>
  </si>
  <si>
    <t>Supermarket</t>
  </si>
  <si>
    <t>Electronics Superstore</t>
  </si>
  <si>
    <t>Pharmacy/Drugstore with Drive-Through Window</t>
  </si>
  <si>
    <t>Liquor Store</t>
  </si>
  <si>
    <t>Drive-In Bank</t>
  </si>
  <si>
    <t>Fast Casual Restaurant</t>
  </si>
  <si>
    <t>High-Turnover (Sit-Down) Restaurant</t>
  </si>
  <si>
    <t>Fast-Food Restaurant without Drive-Through Window</t>
  </si>
  <si>
    <t>Fast-Food Restaurant with Drive-Through Window</t>
  </si>
  <si>
    <t>Quick Lubrication Vehicle Shop</t>
  </si>
  <si>
    <t>Automobile Parts and Service Center</t>
  </si>
  <si>
    <t>Gasoline/Service Station</t>
  </si>
  <si>
    <t>Car Wash and Detail Center</t>
  </si>
  <si>
    <t>Setting</t>
  </si>
  <si>
    <t>General Urban/Suburban</t>
  </si>
  <si>
    <t>Dense Multi-Use Urban</t>
  </si>
  <si>
    <t>Center City Core</t>
  </si>
  <si>
    <t>Adjacent to Campus</t>
  </si>
  <si>
    <t>Time Period</t>
  </si>
  <si>
    <t>Weekday</t>
  </si>
  <si>
    <t>Saturday</t>
  </si>
  <si>
    <t>Single Game</t>
  </si>
  <si>
    <t>Sunday</t>
  </si>
  <si>
    <t># Data Sites</t>
  </si>
  <si>
    <t>Time</t>
  </si>
  <si>
    <t>Entering</t>
  </si>
  <si>
    <t>Exiting</t>
  </si>
  <si>
    <t>Land Use Code</t>
  </si>
  <si>
    <t>Sporting Goods Superstore</t>
  </si>
  <si>
    <t>Hourly Distribution of Entering and Exiting Vehicle Trips by Land Use</t>
  </si>
  <si>
    <t>12:00 - 1:00 AM</t>
  </si>
  <si>
    <t>1:00 - 2:00 AM</t>
  </si>
  <si>
    <t>2:00 - 3:00 AM</t>
  </si>
  <si>
    <t>3:00 - 4:00 AM</t>
  </si>
  <si>
    <t>4:00 - 5:00 AM</t>
  </si>
  <si>
    <t>5:00 - 6:00 AM</t>
  </si>
  <si>
    <t>6:00 - 7:00 AM</t>
  </si>
  <si>
    <t>7:00 - 8:00 AM</t>
  </si>
  <si>
    <t>8:00 - 9:00 AM</t>
  </si>
  <si>
    <t>9:00 - 10:00 AM</t>
  </si>
  <si>
    <t>10:00 - 11:00 AM</t>
  </si>
  <si>
    <t>11:00 - 12:00 PM</t>
  </si>
  <si>
    <t>12:00 - 1:00 PM</t>
  </si>
  <si>
    <t>1:00 - 2:00 PM</t>
  </si>
  <si>
    <t>2:00 - 3:00 PM</t>
  </si>
  <si>
    <t>3:00 - 4:00 PM</t>
  </si>
  <si>
    <t>4:00 - 5:00 PM</t>
  </si>
  <si>
    <t>5:00 - 6:00 PM</t>
  </si>
  <si>
    <t>6:00 - 7:00 PM</t>
  </si>
  <si>
    <t>7:00 - 8:00 PM</t>
  </si>
  <si>
    <t>8:00 - 9:00 PM</t>
  </si>
  <si>
    <t>9:00 - 10:00 PM</t>
  </si>
  <si>
    <t>10:00 - 11:00 PM</t>
  </si>
  <si>
    <t>11:00 - 12:00 AM</t>
  </si>
  <si>
    <t>Total</t>
  </si>
  <si>
    <t>Home Improvement Superestore</t>
  </si>
  <si>
    <t>Convenience Store/Gas Station</t>
  </si>
  <si>
    <t>Subcategory</t>
  </si>
  <si>
    <t>GFA (4-10k)</t>
  </si>
  <si>
    <t>GFA (2-4k)</t>
  </si>
  <si>
    <t>Single-Family Attached Housing</t>
  </si>
  <si>
    <t>Not Close to Rail Transit</t>
  </si>
  <si>
    <t>Close to Rail Transit</t>
  </si>
  <si>
    <t>Not Close to Rail transit</t>
  </si>
  <si>
    <t>Multifamily Housing (High-Rise)</t>
  </si>
  <si>
    <t>Affordable Housing</t>
  </si>
  <si>
    <t>Income Limits</t>
  </si>
  <si>
    <t>Senior</t>
  </si>
  <si>
    <t>Special Needs</t>
  </si>
  <si>
    <t>Over 1/2 Mile from Campus</t>
  </si>
  <si>
    <t>Off-Campus Student Apartment (Low-Rise)</t>
  </si>
  <si>
    <t>Off-Campus Student Apartment (Mid-Rise)</t>
  </si>
  <si>
    <t>Low-Rise Residential with Ground-Floor Commercial</t>
  </si>
  <si>
    <t>GFA (1-25k)</t>
  </si>
  <si>
    <t>Senior Adult Housing - Single-Family</t>
  </si>
  <si>
    <t>Congregate Care Facility</t>
  </si>
  <si>
    <t>Recreational Homes</t>
  </si>
  <si>
    <t>University/College</t>
  </si>
  <si>
    <t>Adult Detention Facility</t>
  </si>
  <si>
    <t>Stand-Alone</t>
  </si>
  <si>
    <t>Within/Near Hospital Campus</t>
  </si>
  <si>
    <t>Free-Standing Discount Store</t>
  </si>
  <si>
    <t>Discount Club</t>
  </si>
  <si>
    <t>Coffee/Donut Shop with Drive-Through Window</t>
  </si>
  <si>
    <t>Wine Tasting Room</t>
  </si>
  <si>
    <t>Rural</t>
  </si>
  <si>
    <t>Friday</t>
  </si>
  <si>
    <t>Genral Urban/Suburban</t>
  </si>
  <si>
    <t>Shopping Plaza (40-150k)</t>
  </si>
  <si>
    <t>Shopping Center (&gt;150k)</t>
  </si>
  <si>
    <t>Supermarket - No</t>
  </si>
  <si>
    <t>Supermarket - Yes</t>
  </si>
  <si>
    <t>Strip Retail Plaza</t>
  </si>
  <si>
    <t>% of 24-Hour Vehicle Trips</t>
  </si>
  <si>
    <t>% of 16-Hour Vehicle Trips</t>
  </si>
  <si>
    <t>% of 11-Hour Vehicle Trips</t>
  </si>
  <si>
    <t>CODE</t>
  </si>
  <si>
    <t>LAND USE</t>
  </si>
  <si>
    <t>Industrial (Land Uses 100–199)</t>
  </si>
  <si>
    <t xml:space="preserve">CODE </t>
  </si>
  <si>
    <t>Residential (Land Uses 200–299)</t>
  </si>
  <si>
    <t>Senior Adult Housing—Single-Family</t>
  </si>
  <si>
    <t>Lodging (Land Uses 300–399)</t>
  </si>
  <si>
    <t>Recreational (Land Uses 400–499)</t>
  </si>
  <si>
    <t>Institutional (Land Uses 500–599)</t>
  </si>
  <si>
    <t>Medical (Land Uses 600–699)</t>
  </si>
  <si>
    <t>Office (Land Uses 700–799)</t>
  </si>
  <si>
    <t>Retail (Land Uses 800–899)</t>
  </si>
  <si>
    <t>Strip Retail Plaza (&lt;40k)</t>
  </si>
  <si>
    <t>Home Improvement Superstore</t>
  </si>
  <si>
    <t>Services (Land Uses 900–999)</t>
  </si>
  <si>
    <t>Drive-in Bank</t>
  </si>
  <si>
    <t>List of Land Uses with Vehicle Time-of-Day Data</t>
  </si>
  <si>
    <r>
      <t xml:space="preserve">Source: ITE </t>
    </r>
    <r>
      <rPr>
        <i/>
        <sz val="11"/>
        <color theme="1"/>
        <rFont val="Calibri"/>
        <family val="2"/>
        <scheme val="minor"/>
      </rPr>
      <t>Trip Generation Manual</t>
    </r>
    <r>
      <rPr>
        <sz val="11"/>
        <color theme="1"/>
        <rFont val="Calibri"/>
        <family val="2"/>
        <scheme val="minor"/>
      </rPr>
      <t>, 12th Edition</t>
    </r>
  </si>
  <si>
    <t>035</t>
  </si>
  <si>
    <t>Truck and Trailer Parking</t>
  </si>
  <si>
    <r>
      <t xml:space="preserve">Source: ITE </t>
    </r>
    <r>
      <rPr>
        <i/>
        <sz val="11"/>
        <color theme="1"/>
        <rFont val="Calibri"/>
        <family val="2"/>
        <scheme val="minor"/>
      </rPr>
      <t>Trip Generation Manual</t>
    </r>
    <r>
      <rPr>
        <sz val="11"/>
        <color theme="1"/>
        <rFont val="Calibri"/>
        <family val="2"/>
        <scheme val="minor"/>
      </rPr>
      <t>, 12th Edition</t>
    </r>
  </si>
  <si>
    <t>Warehouse</t>
  </si>
  <si>
    <t>High-Cube Fulfillment Center Warehouse</t>
  </si>
  <si>
    <t>Data Center</t>
  </si>
  <si>
    <t>All-Suites Hotel</t>
  </si>
  <si>
    <t>Limited-Service Hotel</t>
  </si>
  <si>
    <t>Resort Hotel</t>
  </si>
  <si>
    <t>Campground/Recreational Vehicle Park</t>
  </si>
  <si>
    <t>Pickleball Courts</t>
  </si>
  <si>
    <t>Health/Fitness Club</t>
  </si>
  <si>
    <t>Private High School</t>
  </si>
  <si>
    <t>12:00-1:00 AM</t>
  </si>
  <si>
    <t>1:00-2:00 AM</t>
  </si>
  <si>
    <t>2:00-3:00 AM</t>
  </si>
  <si>
    <t>3:00-4:00 AM</t>
  </si>
  <si>
    <t>4:00-5:00 AM</t>
  </si>
  <si>
    <t>5:00-6:00 AM</t>
  </si>
  <si>
    <t>6:00-7:00 AM</t>
  </si>
  <si>
    <t>7:00-8:00 AM</t>
  </si>
  <si>
    <t>8:00-9:00 AM</t>
  </si>
  <si>
    <t>9:00-10:00 AM</t>
  </si>
  <si>
    <t>10:00-11:00 AM</t>
  </si>
  <si>
    <t>11:00-12:00 PM</t>
  </si>
  <si>
    <t>12:00-1:00 PM</t>
  </si>
  <si>
    <t>1:00-2:00 PM</t>
  </si>
  <si>
    <t>2:00-3:00 PM</t>
  </si>
  <si>
    <t>3:00-4:00 PM</t>
  </si>
  <si>
    <t>4:00-5:00 PM</t>
  </si>
  <si>
    <t>5:00-6:00 PM</t>
  </si>
  <si>
    <t>6:00-7:00 PM</t>
  </si>
  <si>
    <t>7:00-8:00 PM</t>
  </si>
  <si>
    <t>8:00-9:00 PM</t>
  </si>
  <si>
    <t>9:00-10:00 PM</t>
  </si>
  <si>
    <t>10:00-11:00 PM</t>
  </si>
  <si>
    <t>11:00-12:00 AM</t>
  </si>
  <si>
    <t>Walk-In Clinic</t>
  </si>
  <si>
    <t>Furniture/Flooring Store</t>
  </si>
  <si>
    <t>Automobile Care Center</t>
  </si>
  <si>
    <t>Automated Car Wash</t>
  </si>
  <si>
    <t>Rental Car Facility</t>
  </si>
  <si>
    <t>Not Close to Airport</t>
  </si>
  <si>
    <t>Close to Airport</t>
  </si>
  <si>
    <t>Cannabis Dispensary</t>
  </si>
  <si>
    <t>Port, Freight, and Terminal (Land Uses 000–099)</t>
  </si>
  <si>
    <t>12:00 - 6:00 AM</t>
  </si>
  <si>
    <t>Brewery Taproom</t>
  </si>
  <si>
    <t>12:00 - 5:00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</si>
</sst>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1" applyNumberFormat="1" applyFont="1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center"/>
    </xf>
    <xf numFmtId="164" fontId="0" fillId="0" borderId="11" xfId="1" applyNumberFormat="1" applyFont="1" applyFill="1" applyBorder="1" applyAlignment="1">
      <alignment horizontal="center"/>
    </xf>
    <xf numFmtId="0" fontId="0" fillId="0" borderId="15" xfId="0" applyBorder="1" applyAlignment="1">
      <alignment horizontal="right"/>
    </xf>
    <xf numFmtId="164" fontId="0" fillId="0" borderId="16" xfId="1" applyNumberFormat="1" applyFont="1" applyFill="1" applyBorder="1" applyAlignment="1">
      <alignment horizontal="center"/>
    </xf>
    <xf numFmtId="164" fontId="0" fillId="0" borderId="17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right" vertical="center"/>
    </xf>
    <xf numFmtId="0" fontId="0" fillId="0" borderId="10" xfId="0" applyBorder="1"/>
    <xf numFmtId="164" fontId="0" fillId="0" borderId="7" xfId="1" applyNumberFormat="1" applyFont="1" applyFill="1" applyBorder="1" applyAlignment="1">
      <alignment horizontal="center"/>
    </xf>
    <xf numFmtId="164" fontId="0" fillId="0" borderId="21" xfId="1" applyNumberFormat="1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0" borderId="33" xfId="1" applyNumberFormat="1" applyFont="1" applyFill="1" applyBorder="1" applyAlignment="1">
      <alignment horizontal="center"/>
    </xf>
    <xf numFmtId="164" fontId="0" fillId="0" borderId="34" xfId="1" applyNumberFormat="1" applyFont="1" applyFill="1" applyBorder="1" applyAlignment="1">
      <alignment horizontal="center"/>
    </xf>
    <xf numFmtId="164" fontId="0" fillId="0" borderId="10" xfId="1" applyNumberFormat="1" applyFont="1" applyFill="1" applyBorder="1" applyAlignment="1">
      <alignment horizontal="center"/>
    </xf>
    <xf numFmtId="164" fontId="0" fillId="0" borderId="15" xfId="1" applyNumberFormat="1" applyFont="1" applyFill="1" applyBorder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36" xfId="0" applyBorder="1" applyAlignment="1">
      <alignment horizontal="center"/>
    </xf>
    <xf numFmtId="164" fontId="0" fillId="0" borderId="26" xfId="1" applyNumberFormat="1" applyFont="1" applyFill="1" applyBorder="1" applyAlignment="1">
      <alignment horizontal="center"/>
    </xf>
    <xf numFmtId="164" fontId="0" fillId="0" borderId="27" xfId="1" applyNumberFormat="1" applyFont="1" applyFill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0" fontId="0" fillId="0" borderId="44" xfId="0" applyBorder="1" applyAlignment="1">
      <alignment horizontal="right" vertical="center"/>
    </xf>
    <xf numFmtId="0" fontId="0" fillId="0" borderId="12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right"/>
    </xf>
    <xf numFmtId="164" fontId="0" fillId="0" borderId="36" xfId="1" applyNumberFormat="1" applyFont="1" applyFill="1" applyBorder="1" applyAlignment="1">
      <alignment horizontal="center"/>
    </xf>
    <xf numFmtId="164" fontId="0" fillId="0" borderId="25" xfId="1" applyNumberFormat="1" applyFont="1" applyFill="1" applyBorder="1" applyAlignment="1">
      <alignment horizontal="center"/>
    </xf>
    <xf numFmtId="0" fontId="0" fillId="0" borderId="12" xfId="0" applyBorder="1"/>
    <xf numFmtId="0" fontId="0" fillId="0" borderId="44" xfId="0" applyBorder="1"/>
    <xf numFmtId="164" fontId="0" fillId="0" borderId="33" xfId="1" applyNumberFormat="1" applyFont="1" applyBorder="1" applyAlignment="1">
      <alignment horizontal="center"/>
    </xf>
    <xf numFmtId="164" fontId="0" fillId="0" borderId="34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21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23" xfId="1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22" xfId="1" applyNumberFormat="1" applyFont="1" applyBorder="1" applyAlignment="1">
      <alignment horizontal="center"/>
    </xf>
    <xf numFmtId="0" fontId="0" fillId="0" borderId="1" xfId="0" applyBorder="1"/>
    <xf numFmtId="0" fontId="0" fillId="0" borderId="18" xfId="0" applyBorder="1" applyAlignment="1">
      <alignment horizontal="right" vertical="center"/>
    </xf>
    <xf numFmtId="0" fontId="0" fillId="0" borderId="56" xfId="0" applyBorder="1" applyAlignment="1">
      <alignment horizontal="right" vertical="center"/>
    </xf>
    <xf numFmtId="0" fontId="0" fillId="0" borderId="57" xfId="0" applyBorder="1" applyAlignment="1">
      <alignment horizontal="right"/>
    </xf>
    <xf numFmtId="0" fontId="0" fillId="0" borderId="56" xfId="0" applyBorder="1"/>
    <xf numFmtId="0" fontId="0" fillId="0" borderId="58" xfId="0" applyBorder="1" applyAlignment="1">
      <alignment horizontal="right"/>
    </xf>
    <xf numFmtId="0" fontId="0" fillId="0" borderId="57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 applyAlignment="1">
      <alignment horizontal="right"/>
    </xf>
    <xf numFmtId="0" fontId="0" fillId="0" borderId="0" xfId="0" quotePrefix="1" applyAlignment="1">
      <alignment horizontal="center"/>
    </xf>
    <xf numFmtId="0" fontId="0" fillId="0" borderId="60" xfId="0" applyBorder="1" applyAlignment="1">
      <alignment horizontal="right" vertical="center"/>
    </xf>
    <xf numFmtId="0" fontId="0" fillId="0" borderId="64" xfId="0" applyBorder="1" applyAlignment="1">
      <alignment horizontal="righ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36" xfId="0" quotePrefix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55CD-67D0-48C4-998E-0D627356E4CF}">
  <sheetPr>
    <tabColor rgb="FFFFFF00"/>
  </sheetPr>
  <dimension ref="A2:J128"/>
  <sheetViews>
    <sheetView tabSelected="1" topLeftCell="A111" zoomScale="120" zoomScaleNormal="120" workbookViewId="0">
      <selection activeCell="I125" sqref="I125"/>
    </sheetView>
  </sheetViews>
  <sheetFormatPr defaultRowHeight="14.25" x14ac:dyDescent="0.45"/>
  <sheetData>
    <row r="2" spans="1:10" ht="14.65" thickBot="1" x14ac:dyDescent="0.5"/>
    <row r="3" spans="1:10" ht="14.55" customHeight="1" x14ac:dyDescent="0.5">
      <c r="A3" s="72" t="s">
        <v>153</v>
      </c>
      <c r="B3" s="73"/>
      <c r="C3" s="73"/>
      <c r="D3" s="73"/>
      <c r="E3" s="73"/>
      <c r="F3" s="73"/>
      <c r="G3" s="74"/>
      <c r="H3" s="15"/>
      <c r="I3" s="15"/>
      <c r="J3" s="15"/>
    </row>
    <row r="4" spans="1:10" ht="14.55" customHeight="1" x14ac:dyDescent="0.5">
      <c r="A4" s="75"/>
      <c r="B4" s="76"/>
      <c r="C4" s="76"/>
      <c r="D4" s="76"/>
      <c r="E4" s="76"/>
      <c r="F4" s="76"/>
      <c r="G4" s="77"/>
      <c r="H4" s="15"/>
      <c r="I4" s="15"/>
      <c r="J4" s="15"/>
    </row>
    <row r="5" spans="1:10" x14ac:dyDescent="0.45">
      <c r="A5" s="78"/>
      <c r="B5" s="79"/>
      <c r="C5" s="79"/>
      <c r="D5" s="79"/>
      <c r="E5" s="79"/>
      <c r="F5" s="79"/>
      <c r="G5" s="80"/>
    </row>
    <row r="6" spans="1:10" ht="14.65" thickBot="1" x14ac:dyDescent="0.5">
      <c r="A6" s="81" t="s">
        <v>154</v>
      </c>
      <c r="B6" s="82"/>
      <c r="C6" s="82"/>
      <c r="D6" s="82"/>
      <c r="E6" s="82"/>
      <c r="F6" s="82"/>
      <c r="G6" s="83"/>
    </row>
    <row r="8" spans="1:10" x14ac:dyDescent="0.45">
      <c r="A8" s="12" t="s">
        <v>200</v>
      </c>
      <c r="B8" s="12"/>
    </row>
    <row r="9" spans="1:10" x14ac:dyDescent="0.45">
      <c r="A9" s="13" t="s">
        <v>140</v>
      </c>
      <c r="B9" s="12" t="s">
        <v>138</v>
      </c>
    </row>
    <row r="10" spans="1:10" x14ac:dyDescent="0.45">
      <c r="A10" s="69" t="s">
        <v>155</v>
      </c>
      <c r="B10" t="s">
        <v>156</v>
      </c>
    </row>
    <row r="11" spans="1:10" x14ac:dyDescent="0.45">
      <c r="A11" s="1"/>
    </row>
    <row r="12" spans="1:10" x14ac:dyDescent="0.45">
      <c r="A12" s="12" t="s">
        <v>139</v>
      </c>
      <c r="B12" s="12"/>
    </row>
    <row r="13" spans="1:10" x14ac:dyDescent="0.45">
      <c r="A13" s="13" t="s">
        <v>140</v>
      </c>
      <c r="B13" s="12" t="s">
        <v>138</v>
      </c>
    </row>
    <row r="14" spans="1:10" x14ac:dyDescent="0.45">
      <c r="A14" s="1">
        <v>110</v>
      </c>
      <c r="B14" t="s">
        <v>1</v>
      </c>
    </row>
    <row r="15" spans="1:10" x14ac:dyDescent="0.45">
      <c r="A15" s="1">
        <v>140</v>
      </c>
      <c r="B15" t="s">
        <v>2</v>
      </c>
    </row>
    <row r="16" spans="1:10" x14ac:dyDescent="0.45">
      <c r="A16" s="1">
        <v>150</v>
      </c>
      <c r="B16" t="s">
        <v>158</v>
      </c>
    </row>
    <row r="17" spans="1:2" x14ac:dyDescent="0.45">
      <c r="A17" s="1">
        <v>151</v>
      </c>
      <c r="B17" t="s">
        <v>3</v>
      </c>
    </row>
    <row r="18" spans="1:2" x14ac:dyDescent="0.45">
      <c r="A18" s="1">
        <v>154</v>
      </c>
      <c r="B18" t="s">
        <v>4</v>
      </c>
    </row>
    <row r="19" spans="1:2" x14ac:dyDescent="0.45">
      <c r="A19" s="1">
        <v>155</v>
      </c>
      <c r="B19" t="s">
        <v>159</v>
      </c>
    </row>
    <row r="20" spans="1:2" x14ac:dyDescent="0.45">
      <c r="A20" s="1">
        <v>156</v>
      </c>
      <c r="B20" t="s">
        <v>5</v>
      </c>
    </row>
    <row r="21" spans="1:2" x14ac:dyDescent="0.45">
      <c r="A21" s="1">
        <v>160</v>
      </c>
      <c r="B21" t="s">
        <v>160</v>
      </c>
    </row>
    <row r="22" spans="1:2" x14ac:dyDescent="0.45">
      <c r="A22" s="1">
        <v>170</v>
      </c>
      <c r="B22" t="s">
        <v>6</v>
      </c>
    </row>
    <row r="23" spans="1:2" x14ac:dyDescent="0.45">
      <c r="A23" s="1">
        <v>180</v>
      </c>
      <c r="B23" t="s">
        <v>7</v>
      </c>
    </row>
    <row r="25" spans="1:2" x14ac:dyDescent="0.45">
      <c r="A25" s="12" t="s">
        <v>141</v>
      </c>
      <c r="B25" s="12"/>
    </row>
    <row r="26" spans="1:2" x14ac:dyDescent="0.45">
      <c r="A26" s="13" t="s">
        <v>137</v>
      </c>
      <c r="B26" s="12" t="s">
        <v>138</v>
      </c>
    </row>
    <row r="27" spans="1:2" x14ac:dyDescent="0.45">
      <c r="A27" s="1">
        <v>210</v>
      </c>
      <c r="B27" t="s">
        <v>8</v>
      </c>
    </row>
    <row r="28" spans="1:2" x14ac:dyDescent="0.45">
      <c r="A28" s="1">
        <v>215</v>
      </c>
      <c r="B28" t="s">
        <v>101</v>
      </c>
    </row>
    <row r="29" spans="1:2" x14ac:dyDescent="0.45">
      <c r="A29" s="1">
        <v>220</v>
      </c>
      <c r="B29" t="s">
        <v>9</v>
      </c>
    </row>
    <row r="30" spans="1:2" x14ac:dyDescent="0.45">
      <c r="A30" s="1">
        <v>221</v>
      </c>
      <c r="B30" t="s">
        <v>10</v>
      </c>
    </row>
    <row r="31" spans="1:2" x14ac:dyDescent="0.45">
      <c r="A31" s="1">
        <v>222</v>
      </c>
      <c r="B31" t="s">
        <v>105</v>
      </c>
    </row>
    <row r="32" spans="1:2" x14ac:dyDescent="0.45">
      <c r="A32" s="1">
        <v>223</v>
      </c>
      <c r="B32" t="s">
        <v>106</v>
      </c>
    </row>
    <row r="33" spans="1:2" x14ac:dyDescent="0.45">
      <c r="A33" s="1">
        <v>225</v>
      </c>
      <c r="B33" t="s">
        <v>111</v>
      </c>
    </row>
    <row r="34" spans="1:2" x14ac:dyDescent="0.45">
      <c r="A34" s="1">
        <v>226</v>
      </c>
      <c r="B34" t="s">
        <v>112</v>
      </c>
    </row>
    <row r="35" spans="1:2" x14ac:dyDescent="0.45">
      <c r="A35" s="1">
        <v>230</v>
      </c>
      <c r="B35" t="s">
        <v>113</v>
      </c>
    </row>
    <row r="36" spans="1:2" x14ac:dyDescent="0.45">
      <c r="A36" s="1">
        <v>251</v>
      </c>
      <c r="B36" t="s">
        <v>142</v>
      </c>
    </row>
    <row r="37" spans="1:2" x14ac:dyDescent="0.45">
      <c r="A37" s="1">
        <v>253</v>
      </c>
      <c r="B37" t="s">
        <v>116</v>
      </c>
    </row>
    <row r="38" spans="1:2" x14ac:dyDescent="0.45">
      <c r="A38" s="1">
        <v>254</v>
      </c>
      <c r="B38" t="s">
        <v>11</v>
      </c>
    </row>
    <row r="39" spans="1:2" x14ac:dyDescent="0.45">
      <c r="A39" s="1">
        <v>260</v>
      </c>
      <c r="B39" t="s">
        <v>117</v>
      </c>
    </row>
    <row r="41" spans="1:2" x14ac:dyDescent="0.45">
      <c r="A41" s="12" t="s">
        <v>143</v>
      </c>
      <c r="B41" s="12"/>
    </row>
    <row r="42" spans="1:2" x14ac:dyDescent="0.45">
      <c r="A42" s="13" t="s">
        <v>137</v>
      </c>
      <c r="B42" s="12" t="s">
        <v>138</v>
      </c>
    </row>
    <row r="43" spans="1:2" x14ac:dyDescent="0.45">
      <c r="A43" s="1">
        <v>310</v>
      </c>
      <c r="B43" t="s">
        <v>12</v>
      </c>
    </row>
    <row r="44" spans="1:2" x14ac:dyDescent="0.45">
      <c r="A44" s="1">
        <v>311</v>
      </c>
      <c r="B44" t="s">
        <v>161</v>
      </c>
    </row>
    <row r="45" spans="1:2" x14ac:dyDescent="0.45">
      <c r="A45" s="1">
        <v>312</v>
      </c>
      <c r="B45" t="s">
        <v>162</v>
      </c>
    </row>
    <row r="46" spans="1:2" x14ac:dyDescent="0.45">
      <c r="A46" s="1">
        <v>320</v>
      </c>
      <c r="B46" t="s">
        <v>13</v>
      </c>
    </row>
    <row r="47" spans="1:2" x14ac:dyDescent="0.45">
      <c r="A47" s="1">
        <v>330</v>
      </c>
      <c r="B47" t="s">
        <v>163</v>
      </c>
    </row>
    <row r="49" spans="1:2" x14ac:dyDescent="0.45">
      <c r="A49" s="12" t="s">
        <v>144</v>
      </c>
      <c r="B49" s="12"/>
    </row>
    <row r="50" spans="1:2" x14ac:dyDescent="0.45">
      <c r="A50" s="13" t="s">
        <v>137</v>
      </c>
      <c r="B50" s="12" t="s">
        <v>138</v>
      </c>
    </row>
    <row r="51" spans="1:2" x14ac:dyDescent="0.45">
      <c r="A51" s="1">
        <v>416</v>
      </c>
      <c r="B51" t="s">
        <v>164</v>
      </c>
    </row>
    <row r="52" spans="1:2" x14ac:dyDescent="0.45">
      <c r="A52" s="1">
        <v>462</v>
      </c>
      <c r="B52" t="s">
        <v>14</v>
      </c>
    </row>
    <row r="53" spans="1:2" x14ac:dyDescent="0.45">
      <c r="A53" s="1">
        <v>489</v>
      </c>
      <c r="B53" t="s">
        <v>165</v>
      </c>
    </row>
    <row r="54" spans="1:2" x14ac:dyDescent="0.45">
      <c r="A54" s="1">
        <v>492</v>
      </c>
      <c r="B54" t="s">
        <v>166</v>
      </c>
    </row>
    <row r="55" spans="1:2" x14ac:dyDescent="0.45">
      <c r="A55" s="1">
        <v>495</v>
      </c>
      <c r="B55" t="s">
        <v>15</v>
      </c>
    </row>
    <row r="57" spans="1:2" x14ac:dyDescent="0.45">
      <c r="A57" s="12" t="s">
        <v>145</v>
      </c>
      <c r="B57" s="12"/>
    </row>
    <row r="58" spans="1:2" x14ac:dyDescent="0.45">
      <c r="A58" s="13" t="s">
        <v>137</v>
      </c>
      <c r="B58" s="12" t="s">
        <v>138</v>
      </c>
    </row>
    <row r="59" spans="1:2" x14ac:dyDescent="0.45">
      <c r="A59" s="1">
        <v>520</v>
      </c>
      <c r="B59" t="s">
        <v>16</v>
      </c>
    </row>
    <row r="60" spans="1:2" x14ac:dyDescent="0.45">
      <c r="A60" s="1">
        <v>522</v>
      </c>
      <c r="B60" t="s">
        <v>17</v>
      </c>
    </row>
    <row r="61" spans="1:2" x14ac:dyDescent="0.45">
      <c r="A61" s="1">
        <v>525</v>
      </c>
      <c r="B61" t="s">
        <v>18</v>
      </c>
    </row>
    <row r="62" spans="1:2" x14ac:dyDescent="0.45">
      <c r="A62" s="1">
        <v>528</v>
      </c>
      <c r="B62" t="s">
        <v>20</v>
      </c>
    </row>
    <row r="63" spans="1:2" x14ac:dyDescent="0.45">
      <c r="A63" s="1">
        <v>534</v>
      </c>
      <c r="B63" t="s">
        <v>167</v>
      </c>
    </row>
    <row r="64" spans="1:2" x14ac:dyDescent="0.45">
      <c r="A64" s="1">
        <v>536</v>
      </c>
      <c r="B64" t="s">
        <v>19</v>
      </c>
    </row>
    <row r="65" spans="1:2" x14ac:dyDescent="0.45">
      <c r="A65" s="1">
        <v>540</v>
      </c>
      <c r="B65" t="s">
        <v>21</v>
      </c>
    </row>
    <row r="66" spans="1:2" x14ac:dyDescent="0.45">
      <c r="A66" s="1">
        <v>550</v>
      </c>
      <c r="B66" t="s">
        <v>118</v>
      </c>
    </row>
    <row r="67" spans="1:2" x14ac:dyDescent="0.45">
      <c r="A67" s="1">
        <v>565</v>
      </c>
      <c r="B67" t="s">
        <v>22</v>
      </c>
    </row>
    <row r="68" spans="1:2" x14ac:dyDescent="0.45">
      <c r="A68" s="1">
        <v>571</v>
      </c>
      <c r="B68" t="s">
        <v>119</v>
      </c>
    </row>
    <row r="70" spans="1:2" x14ac:dyDescent="0.45">
      <c r="A70" s="12" t="s">
        <v>146</v>
      </c>
      <c r="B70" s="12"/>
    </row>
    <row r="71" spans="1:2" x14ac:dyDescent="0.45">
      <c r="A71" s="13" t="s">
        <v>137</v>
      </c>
      <c r="B71" s="12" t="s">
        <v>138</v>
      </c>
    </row>
    <row r="72" spans="1:2" x14ac:dyDescent="0.45">
      <c r="A72" s="1">
        <v>610</v>
      </c>
      <c r="B72" t="s">
        <v>23</v>
      </c>
    </row>
    <row r="73" spans="1:2" x14ac:dyDescent="0.45">
      <c r="A73" s="1">
        <v>620</v>
      </c>
      <c r="B73" t="s">
        <v>24</v>
      </c>
    </row>
    <row r="74" spans="1:2" x14ac:dyDescent="0.45">
      <c r="A74" s="1">
        <v>630</v>
      </c>
      <c r="B74" t="s">
        <v>192</v>
      </c>
    </row>
    <row r="75" spans="1:2" x14ac:dyDescent="0.45">
      <c r="A75" s="1">
        <v>640</v>
      </c>
      <c r="B75" t="s">
        <v>25</v>
      </c>
    </row>
    <row r="76" spans="1:2" x14ac:dyDescent="0.45">
      <c r="A76" s="1">
        <v>650</v>
      </c>
      <c r="B76" t="s">
        <v>26</v>
      </c>
    </row>
    <row r="78" spans="1:2" x14ac:dyDescent="0.45">
      <c r="A78" s="12" t="s">
        <v>147</v>
      </c>
      <c r="B78" s="12"/>
    </row>
    <row r="79" spans="1:2" x14ac:dyDescent="0.45">
      <c r="A79" s="13" t="s">
        <v>137</v>
      </c>
      <c r="B79" s="12" t="s">
        <v>138</v>
      </c>
    </row>
    <row r="80" spans="1:2" x14ac:dyDescent="0.45">
      <c r="A80" s="1">
        <v>710</v>
      </c>
      <c r="B80" t="s">
        <v>27</v>
      </c>
    </row>
    <row r="81" spans="1:2" x14ac:dyDescent="0.45">
      <c r="A81" s="1">
        <v>712</v>
      </c>
      <c r="B81" t="s">
        <v>28</v>
      </c>
    </row>
    <row r="82" spans="1:2" x14ac:dyDescent="0.45">
      <c r="A82" s="1">
        <v>720</v>
      </c>
      <c r="B82" t="s">
        <v>29</v>
      </c>
    </row>
    <row r="83" spans="1:2" x14ac:dyDescent="0.45">
      <c r="A83" s="1">
        <v>730</v>
      </c>
      <c r="B83" t="s">
        <v>30</v>
      </c>
    </row>
    <row r="84" spans="1:2" x14ac:dyDescent="0.45">
      <c r="A84" s="1">
        <v>731</v>
      </c>
      <c r="B84" t="s">
        <v>31</v>
      </c>
    </row>
    <row r="86" spans="1:2" x14ac:dyDescent="0.45">
      <c r="A86" s="12" t="s">
        <v>148</v>
      </c>
      <c r="B86" s="12"/>
    </row>
    <row r="87" spans="1:2" x14ac:dyDescent="0.45">
      <c r="A87" s="13" t="s">
        <v>137</v>
      </c>
      <c r="B87" s="12" t="s">
        <v>138</v>
      </c>
    </row>
    <row r="88" spans="1:2" x14ac:dyDescent="0.45">
      <c r="A88" s="1">
        <v>812</v>
      </c>
      <c r="B88" t="s">
        <v>32</v>
      </c>
    </row>
    <row r="89" spans="1:2" x14ac:dyDescent="0.45">
      <c r="A89" s="1">
        <v>813</v>
      </c>
      <c r="B89" t="s">
        <v>33</v>
      </c>
    </row>
    <row r="90" spans="1:2" x14ac:dyDescent="0.45">
      <c r="A90" s="1">
        <v>814</v>
      </c>
      <c r="B90" t="s">
        <v>34</v>
      </c>
    </row>
    <row r="91" spans="1:2" x14ac:dyDescent="0.45">
      <c r="A91" s="1">
        <v>815</v>
      </c>
      <c r="B91" t="s">
        <v>122</v>
      </c>
    </row>
    <row r="92" spans="1:2" x14ac:dyDescent="0.45">
      <c r="A92" s="1">
        <v>816</v>
      </c>
      <c r="B92" t="s">
        <v>35</v>
      </c>
    </row>
    <row r="93" spans="1:2" x14ac:dyDescent="0.45">
      <c r="A93" s="1">
        <v>820</v>
      </c>
      <c r="B93" t="s">
        <v>130</v>
      </c>
    </row>
    <row r="94" spans="1:2" x14ac:dyDescent="0.45">
      <c r="A94" s="1">
        <v>821</v>
      </c>
      <c r="B94" t="s">
        <v>129</v>
      </c>
    </row>
    <row r="95" spans="1:2" x14ac:dyDescent="0.45">
      <c r="A95" s="1">
        <v>822</v>
      </c>
      <c r="B95" t="s">
        <v>149</v>
      </c>
    </row>
    <row r="96" spans="1:2" x14ac:dyDescent="0.45">
      <c r="A96" s="1">
        <v>840</v>
      </c>
      <c r="B96" t="s">
        <v>36</v>
      </c>
    </row>
    <row r="97" spans="1:2" x14ac:dyDescent="0.45">
      <c r="A97" s="1">
        <v>841</v>
      </c>
      <c r="B97" t="s">
        <v>37</v>
      </c>
    </row>
    <row r="98" spans="1:2" x14ac:dyDescent="0.45">
      <c r="A98" s="1">
        <v>842</v>
      </c>
      <c r="B98" t="s">
        <v>38</v>
      </c>
    </row>
    <row r="99" spans="1:2" x14ac:dyDescent="0.45">
      <c r="A99" s="1">
        <v>843</v>
      </c>
      <c r="B99" t="s">
        <v>39</v>
      </c>
    </row>
    <row r="100" spans="1:2" x14ac:dyDescent="0.45">
      <c r="A100" s="1">
        <v>848</v>
      </c>
      <c r="B100" t="s">
        <v>40</v>
      </c>
    </row>
    <row r="101" spans="1:2" x14ac:dyDescent="0.45">
      <c r="A101" s="1">
        <v>850</v>
      </c>
      <c r="B101" t="s">
        <v>41</v>
      </c>
    </row>
    <row r="102" spans="1:2" x14ac:dyDescent="0.45">
      <c r="A102" s="1">
        <v>857</v>
      </c>
      <c r="B102" t="s">
        <v>123</v>
      </c>
    </row>
    <row r="103" spans="1:2" x14ac:dyDescent="0.45">
      <c r="A103" s="1">
        <v>861</v>
      </c>
      <c r="B103" t="s">
        <v>69</v>
      </c>
    </row>
    <row r="104" spans="1:2" x14ac:dyDescent="0.45">
      <c r="A104" s="1">
        <v>862</v>
      </c>
      <c r="B104" t="s">
        <v>150</v>
      </c>
    </row>
    <row r="105" spans="1:2" x14ac:dyDescent="0.45">
      <c r="A105" s="1">
        <v>863</v>
      </c>
      <c r="B105" t="s">
        <v>42</v>
      </c>
    </row>
    <row r="106" spans="1:2" x14ac:dyDescent="0.45">
      <c r="A106" s="1">
        <v>881</v>
      </c>
      <c r="B106" t="s">
        <v>43</v>
      </c>
    </row>
    <row r="107" spans="1:2" x14ac:dyDescent="0.45">
      <c r="A107" s="1">
        <v>882</v>
      </c>
      <c r="B107" t="s">
        <v>199</v>
      </c>
    </row>
    <row r="108" spans="1:2" x14ac:dyDescent="0.45">
      <c r="A108" s="1">
        <v>890</v>
      </c>
      <c r="B108" t="s">
        <v>193</v>
      </c>
    </row>
    <row r="109" spans="1:2" x14ac:dyDescent="0.45">
      <c r="A109" s="1">
        <v>899</v>
      </c>
      <c r="B109" t="s">
        <v>44</v>
      </c>
    </row>
    <row r="111" spans="1:2" x14ac:dyDescent="0.45">
      <c r="A111" s="12" t="s">
        <v>151</v>
      </c>
      <c r="B111" s="12"/>
    </row>
    <row r="112" spans="1:2" x14ac:dyDescent="0.45">
      <c r="A112" s="13" t="s">
        <v>137</v>
      </c>
      <c r="B112" s="12" t="s">
        <v>138</v>
      </c>
    </row>
    <row r="113" spans="1:2" x14ac:dyDescent="0.45">
      <c r="A113" s="1">
        <v>912</v>
      </c>
      <c r="B113" t="s">
        <v>152</v>
      </c>
    </row>
    <row r="114" spans="1:2" x14ac:dyDescent="0.45">
      <c r="A114" s="1">
        <v>930</v>
      </c>
      <c r="B114" t="s">
        <v>46</v>
      </c>
    </row>
    <row r="115" spans="1:2" x14ac:dyDescent="0.45">
      <c r="A115" s="1">
        <v>932</v>
      </c>
      <c r="B115" t="s">
        <v>47</v>
      </c>
    </row>
    <row r="116" spans="1:2" x14ac:dyDescent="0.45">
      <c r="A116" s="1">
        <v>933</v>
      </c>
      <c r="B116" t="s">
        <v>48</v>
      </c>
    </row>
    <row r="117" spans="1:2" x14ac:dyDescent="0.45">
      <c r="A117" s="1">
        <v>934</v>
      </c>
      <c r="B117" t="s">
        <v>49</v>
      </c>
    </row>
    <row r="118" spans="1:2" x14ac:dyDescent="0.45">
      <c r="A118" s="1">
        <v>937</v>
      </c>
      <c r="B118" t="s">
        <v>124</v>
      </c>
    </row>
    <row r="119" spans="1:2" x14ac:dyDescent="0.45">
      <c r="A119" s="1">
        <v>941</v>
      </c>
      <c r="B119" t="s">
        <v>50</v>
      </c>
    </row>
    <row r="120" spans="1:2" x14ac:dyDescent="0.45">
      <c r="A120" s="1">
        <v>942</v>
      </c>
      <c r="B120" t="s">
        <v>194</v>
      </c>
    </row>
    <row r="121" spans="1:2" x14ac:dyDescent="0.45">
      <c r="A121" s="1">
        <v>943</v>
      </c>
      <c r="B121" t="s">
        <v>51</v>
      </c>
    </row>
    <row r="122" spans="1:2" x14ac:dyDescent="0.45">
      <c r="A122" s="1">
        <v>944</v>
      </c>
      <c r="B122" t="s">
        <v>52</v>
      </c>
    </row>
    <row r="123" spans="1:2" x14ac:dyDescent="0.45">
      <c r="A123" s="1">
        <v>945</v>
      </c>
      <c r="B123" t="s">
        <v>97</v>
      </c>
    </row>
    <row r="124" spans="1:2" x14ac:dyDescent="0.45">
      <c r="A124" s="1">
        <v>948</v>
      </c>
      <c r="B124" t="s">
        <v>195</v>
      </c>
    </row>
    <row r="125" spans="1:2" x14ac:dyDescent="0.45">
      <c r="A125" s="1">
        <v>949</v>
      </c>
      <c r="B125" t="s">
        <v>53</v>
      </c>
    </row>
    <row r="126" spans="1:2" x14ac:dyDescent="0.45">
      <c r="A126" s="1">
        <v>960</v>
      </c>
      <c r="B126" t="s">
        <v>196</v>
      </c>
    </row>
    <row r="127" spans="1:2" x14ac:dyDescent="0.45">
      <c r="A127" s="1">
        <v>970</v>
      </c>
      <c r="B127" t="s">
        <v>125</v>
      </c>
    </row>
    <row r="128" spans="1:2" x14ac:dyDescent="0.45">
      <c r="A128" s="1">
        <v>971</v>
      </c>
      <c r="B128" t="s">
        <v>202</v>
      </c>
    </row>
  </sheetData>
  <mergeCells count="3">
    <mergeCell ref="A3:G4"/>
    <mergeCell ref="A5:G5"/>
    <mergeCell ref="A6:G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FB70-3E32-4D43-B7A9-C594F4331A38}">
  <sheetPr>
    <tabColor rgb="FFFFFF00"/>
  </sheetPr>
  <dimension ref="A1:J36"/>
  <sheetViews>
    <sheetView topLeftCell="A4" zoomScaleNormal="100" workbookViewId="0">
      <selection activeCell="P11" sqref="P11"/>
    </sheetView>
  </sheetViews>
  <sheetFormatPr defaultColWidth="9.06640625" defaultRowHeight="14.25" x14ac:dyDescent="0.45"/>
  <cols>
    <col min="1" max="1" width="17.796875" customWidth="1"/>
    <col min="2" max="4" width="17.796875" style="1" customWidth="1"/>
    <col min="5" max="10" width="17.796875" customWidth="1"/>
  </cols>
  <sheetData>
    <row r="1" spans="1:10" ht="14.5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4.5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154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60" t="s">
        <v>68</v>
      </c>
      <c r="B5" s="84" t="s">
        <v>155</v>
      </c>
      <c r="C5" s="85"/>
      <c r="D5" s="109"/>
      <c r="E5" s="107" t="s">
        <v>155</v>
      </c>
      <c r="F5" s="85"/>
      <c r="G5" s="86"/>
      <c r="H5" s="84" t="s">
        <v>155</v>
      </c>
      <c r="I5" s="85"/>
      <c r="J5" s="86"/>
    </row>
    <row r="6" spans="1:10" x14ac:dyDescent="0.45">
      <c r="A6" s="61" t="s">
        <v>0</v>
      </c>
      <c r="B6" s="87" t="s">
        <v>156</v>
      </c>
      <c r="C6" s="88"/>
      <c r="D6" s="104"/>
      <c r="E6" s="99" t="s">
        <v>156</v>
      </c>
      <c r="F6" s="88"/>
      <c r="G6" s="89"/>
      <c r="H6" s="87" t="s">
        <v>156</v>
      </c>
      <c r="I6" s="88"/>
      <c r="J6" s="89"/>
    </row>
    <row r="7" spans="1:10" x14ac:dyDescent="0.45">
      <c r="A7" s="61" t="s">
        <v>54</v>
      </c>
      <c r="B7" s="87" t="s">
        <v>55</v>
      </c>
      <c r="C7" s="88"/>
      <c r="D7" s="104"/>
      <c r="E7" s="99" t="s">
        <v>55</v>
      </c>
      <c r="F7" s="88"/>
      <c r="G7" s="89"/>
      <c r="H7" s="87" t="s">
        <v>55</v>
      </c>
      <c r="I7" s="88"/>
      <c r="J7" s="89"/>
    </row>
    <row r="8" spans="1:10" x14ac:dyDescent="0.45">
      <c r="A8" s="61" t="s">
        <v>59</v>
      </c>
      <c r="B8" s="87" t="s">
        <v>60</v>
      </c>
      <c r="C8" s="88"/>
      <c r="D8" s="104"/>
      <c r="E8" s="99" t="s">
        <v>61</v>
      </c>
      <c r="F8" s="88"/>
      <c r="G8" s="89"/>
      <c r="H8" s="87" t="s">
        <v>63</v>
      </c>
      <c r="I8" s="88"/>
      <c r="J8" s="89"/>
    </row>
    <row r="9" spans="1:10" ht="14.65" thickBot="1" x14ac:dyDescent="0.5">
      <c r="A9" s="63" t="s">
        <v>64</v>
      </c>
      <c r="B9" s="90">
        <v>11</v>
      </c>
      <c r="C9" s="91"/>
      <c r="D9" s="105"/>
      <c r="E9" s="100">
        <v>1</v>
      </c>
      <c r="F9" s="91"/>
      <c r="G9" s="92"/>
      <c r="H9" s="90">
        <v>1</v>
      </c>
      <c r="I9" s="91"/>
      <c r="J9" s="92"/>
    </row>
    <row r="10" spans="1:10" x14ac:dyDescent="0.45">
      <c r="A10" s="62"/>
      <c r="B10" s="101" t="s">
        <v>134</v>
      </c>
      <c r="C10" s="102"/>
      <c r="D10" s="106"/>
      <c r="E10" s="108" t="s">
        <v>134</v>
      </c>
      <c r="F10" s="102"/>
      <c r="G10" s="103"/>
      <c r="H10" s="101" t="s">
        <v>134</v>
      </c>
      <c r="I10" s="102"/>
      <c r="J10" s="103"/>
    </row>
    <row r="11" spans="1:10" x14ac:dyDescent="0.45">
      <c r="A11" s="61" t="s">
        <v>65</v>
      </c>
      <c r="B11" s="22" t="s">
        <v>95</v>
      </c>
      <c r="C11" s="2" t="s">
        <v>66</v>
      </c>
      <c r="D11" s="14" t="s">
        <v>67</v>
      </c>
      <c r="E11" s="10" t="s">
        <v>95</v>
      </c>
      <c r="F11" s="2" t="s">
        <v>66</v>
      </c>
      <c r="G11" s="5" t="s">
        <v>67</v>
      </c>
      <c r="H11" s="22" t="s">
        <v>95</v>
      </c>
      <c r="I11" s="2" t="s">
        <v>66</v>
      </c>
      <c r="J11" s="5" t="s">
        <v>67</v>
      </c>
    </row>
    <row r="12" spans="1:10" x14ac:dyDescent="0.45">
      <c r="A12" s="61" t="s">
        <v>71</v>
      </c>
      <c r="B12" s="23">
        <v>1.0671744798323248E-2</v>
      </c>
      <c r="C12" s="3">
        <v>1.0359116022099499E-2</v>
      </c>
      <c r="D12" s="20">
        <v>1.0972612359550611E-2</v>
      </c>
      <c r="E12" s="25">
        <v>9.7656250000119826E-4</v>
      </c>
      <c r="F12" s="3">
        <v>1.2135922330112009E-3</v>
      </c>
      <c r="G12" s="6">
        <v>8.1699346405328854E-4</v>
      </c>
      <c r="H12" s="23">
        <v>1.0548523206764006E-3</v>
      </c>
      <c r="I12" s="3">
        <v>1.1682242990668562E-3</v>
      </c>
      <c r="J12" s="6">
        <v>9.615384615396412E-4</v>
      </c>
    </row>
    <row r="13" spans="1:10" x14ac:dyDescent="0.45">
      <c r="A13" s="61" t="s">
        <v>72</v>
      </c>
      <c r="B13" s="23">
        <v>1.1182966106027349E-2</v>
      </c>
      <c r="C13" s="3">
        <v>1.2339726884186431E-2</v>
      </c>
      <c r="D13" s="20">
        <v>1.0069723113964729E-2</v>
      </c>
      <c r="E13" s="25">
        <v>1.5299479166667846E-2</v>
      </c>
      <c r="F13" s="3">
        <v>4.4498381877035925E-3</v>
      </c>
      <c r="G13" s="6">
        <v>2.2603485838781003E-2</v>
      </c>
      <c r="H13" s="23">
        <v>1.2306610407877472E-2</v>
      </c>
      <c r="I13" s="3">
        <v>1.3629283489097963E-2</v>
      </c>
      <c r="J13" s="6">
        <v>1.1217948717949839E-2</v>
      </c>
    </row>
    <row r="14" spans="1:10" x14ac:dyDescent="0.45">
      <c r="A14" s="61" t="s">
        <v>73</v>
      </c>
      <c r="B14" s="23">
        <v>1.450590460610403E-2</v>
      </c>
      <c r="C14" s="3">
        <v>1.6405191285312246E-2</v>
      </c>
      <c r="D14" s="20">
        <v>1.267806982343503E-2</v>
      </c>
      <c r="E14" s="25">
        <v>2.1809895833334411E-2</v>
      </c>
      <c r="F14" s="3">
        <v>7.6860841423959832E-3</v>
      </c>
      <c r="G14" s="6">
        <v>3.1318082788672E-2</v>
      </c>
      <c r="H14" s="23">
        <v>1.0900140646977136E-2</v>
      </c>
      <c r="I14" s="3">
        <v>7.3987538940821097E-3</v>
      </c>
      <c r="J14" s="6">
        <v>1.3782051282052265E-2</v>
      </c>
    </row>
    <row r="15" spans="1:10" x14ac:dyDescent="0.45">
      <c r="A15" s="61" t="s">
        <v>74</v>
      </c>
      <c r="B15" s="23">
        <v>2.1202903737027805E-2</v>
      </c>
      <c r="C15" s="3">
        <v>2.1930053163765281E-2</v>
      </c>
      <c r="D15" s="20">
        <v>2.0503109951845937E-2</v>
      </c>
      <c r="E15" s="25">
        <v>2.4414062500000923E-2</v>
      </c>
      <c r="F15" s="3">
        <v>1.0922330097088354E-2</v>
      </c>
      <c r="G15" s="6">
        <v>3.3496732026144636E-2</v>
      </c>
      <c r="H15" s="23">
        <v>1.3713080168777253E-2</v>
      </c>
      <c r="I15" s="3">
        <v>1.0514018691589718E-2</v>
      </c>
      <c r="J15" s="6">
        <v>1.6346153846154676E-2</v>
      </c>
    </row>
    <row r="16" spans="1:10" x14ac:dyDescent="0.45">
      <c r="A16" s="61" t="s">
        <v>75</v>
      </c>
      <c r="B16" s="23">
        <v>3.1682940544961957E-2</v>
      </c>
      <c r="C16" s="3">
        <v>3.4647659751902454E-2</v>
      </c>
      <c r="D16" s="20">
        <v>2.8829755216693443E-2</v>
      </c>
      <c r="E16" s="25">
        <v>2.3111979166667362E-2</v>
      </c>
      <c r="F16" s="3">
        <v>2.386731391585848E-2</v>
      </c>
      <c r="G16" s="6">
        <v>2.2603485838780534E-2</v>
      </c>
      <c r="H16" s="23">
        <v>2.0745428973277805E-2</v>
      </c>
      <c r="I16" s="3">
        <v>1.3629283489097291E-2</v>
      </c>
      <c r="J16" s="6">
        <v>2.6602564102564827E-2</v>
      </c>
    </row>
    <row r="17" spans="1:10" x14ac:dyDescent="0.45">
      <c r="A17" s="61" t="s">
        <v>76</v>
      </c>
      <c r="B17" s="23">
        <v>4.308317570676351E-2</v>
      </c>
      <c r="C17" s="3">
        <v>4.5801626185760475E-2</v>
      </c>
      <c r="D17" s="20">
        <v>4.0466994382022496E-2</v>
      </c>
      <c r="E17" s="25">
        <v>2.5716145833333894E-2</v>
      </c>
      <c r="F17" s="3">
        <v>2.7103559870550877E-2</v>
      </c>
      <c r="G17" s="6">
        <v>2.4782135076253181E-2</v>
      </c>
      <c r="H17" s="23">
        <v>2.355836849507794E-2</v>
      </c>
      <c r="I17" s="3">
        <v>1.6744548286604918E-2</v>
      </c>
      <c r="J17" s="6">
        <v>2.9166666666667257E-2</v>
      </c>
    </row>
    <row r="18" spans="1:10" x14ac:dyDescent="0.45">
      <c r="A18" s="61" t="s">
        <v>77</v>
      </c>
      <c r="B18" s="23">
        <v>5.1211594499258786E-2</v>
      </c>
      <c r="C18" s="3">
        <v>5.1118002710309619E-2</v>
      </c>
      <c r="D18" s="20">
        <v>5.1301665329052989E-2</v>
      </c>
      <c r="E18" s="25">
        <v>3.2226562500000458E-2</v>
      </c>
      <c r="F18" s="3">
        <v>3.0339805825243267E-2</v>
      </c>
      <c r="G18" s="6">
        <v>3.3496732026144178E-2</v>
      </c>
      <c r="H18" s="23">
        <v>3.4810126582279007E-2</v>
      </c>
      <c r="I18" s="3">
        <v>2.9205607476636024E-2</v>
      </c>
      <c r="J18" s="6">
        <v>3.9423076923077449E-2</v>
      </c>
    </row>
    <row r="19" spans="1:10" x14ac:dyDescent="0.45">
      <c r="A19" s="61" t="s">
        <v>78</v>
      </c>
      <c r="B19" s="23">
        <v>4.7888655999182086E-2</v>
      </c>
      <c r="C19" s="3">
        <v>4.6322839570520184E-2</v>
      </c>
      <c r="D19" s="20">
        <v>4.9395565810593914E-2</v>
      </c>
      <c r="E19" s="25">
        <v>1.9205729166666869E-2</v>
      </c>
      <c r="F19" s="3">
        <v>2.3867313915857922E-2</v>
      </c>
      <c r="G19" s="6">
        <v>1.6067538126361795E-2</v>
      </c>
      <c r="H19" s="23">
        <v>3.7623066104079193E-2</v>
      </c>
      <c r="I19" s="3">
        <v>3.2320872274143708E-2</v>
      </c>
      <c r="J19" s="6">
        <v>4.1987179487179921E-2</v>
      </c>
    </row>
    <row r="20" spans="1:10" x14ac:dyDescent="0.45">
      <c r="A20" s="61" t="s">
        <v>79</v>
      </c>
      <c r="B20" s="23">
        <v>5.2387403506978222E-2</v>
      </c>
      <c r="C20" s="3">
        <v>5.2264672156781003E-2</v>
      </c>
      <c r="D20" s="20">
        <v>5.2505517656500821E-2</v>
      </c>
      <c r="E20" s="25">
        <v>3.7434895833333717E-2</v>
      </c>
      <c r="F20" s="3">
        <v>3.6812297734628303E-2</v>
      </c>
      <c r="G20" s="6">
        <v>3.7854030501089646E-2</v>
      </c>
      <c r="H20" s="23">
        <v>2.7777777777778085E-2</v>
      </c>
      <c r="I20" s="3">
        <v>3.5436137071651524E-2</v>
      </c>
      <c r="J20" s="6">
        <v>2.147435897435919E-2</v>
      </c>
    </row>
    <row r="21" spans="1:10" x14ac:dyDescent="0.45">
      <c r="A21" s="61" t="s">
        <v>80</v>
      </c>
      <c r="B21" s="23">
        <v>5.8982158376361178E-2</v>
      </c>
      <c r="C21" s="3">
        <v>5.9561659543417092E-2</v>
      </c>
      <c r="D21" s="20">
        <v>5.8424458266452664E-2</v>
      </c>
      <c r="E21" s="25">
        <v>4.3945312500000451E-2</v>
      </c>
      <c r="F21" s="3">
        <v>3.0339805825243111E-2</v>
      </c>
      <c r="G21" s="6">
        <v>5.3104575163399149E-2</v>
      </c>
      <c r="H21" s="23">
        <v>3.0590717299578404E-2</v>
      </c>
      <c r="I21" s="3">
        <v>2.9205607476635875E-2</v>
      </c>
      <c r="J21" s="6">
        <v>3.1730769230769555E-2</v>
      </c>
    </row>
    <row r="22" spans="1:10" x14ac:dyDescent="0.45">
      <c r="A22" s="61" t="s">
        <v>81</v>
      </c>
      <c r="B22" s="23">
        <v>6.1589387045652123E-2</v>
      </c>
      <c r="C22" s="3">
        <v>5.9770144897320986E-2</v>
      </c>
      <c r="D22" s="20">
        <v>6.3340188603531328E-2</v>
      </c>
      <c r="E22" s="25">
        <v>3.8736979166667074E-2</v>
      </c>
      <c r="F22" s="3">
        <v>3.3576051779935716E-2</v>
      </c>
      <c r="G22" s="6">
        <v>4.2211328976035224E-2</v>
      </c>
      <c r="H22" s="23">
        <v>5.8720112517581538E-2</v>
      </c>
      <c r="I22" s="3">
        <v>4.1666666666667185E-2</v>
      </c>
      <c r="J22" s="6">
        <v>7.2756410256411011E-2</v>
      </c>
    </row>
    <row r="23" spans="1:10" x14ac:dyDescent="0.45">
      <c r="A23" s="61" t="s">
        <v>82</v>
      </c>
      <c r="B23" s="23">
        <v>5.8573181330197892E-2</v>
      </c>
      <c r="C23" s="3">
        <v>5.7164077973522388E-2</v>
      </c>
      <c r="D23" s="20">
        <v>5.9929273675762458E-2</v>
      </c>
      <c r="E23" s="25">
        <v>4.9153645833333835E-2</v>
      </c>
      <c r="F23" s="3">
        <v>4.6521035598706101E-2</v>
      </c>
      <c r="G23" s="6">
        <v>5.092592592592636E-2</v>
      </c>
      <c r="H23" s="23">
        <v>3.6216596343179024E-2</v>
      </c>
      <c r="I23" s="3">
        <v>4.4781931464175001E-2</v>
      </c>
      <c r="J23" s="6">
        <v>2.9166666666666962E-2</v>
      </c>
    </row>
    <row r="24" spans="1:10" x14ac:dyDescent="0.45">
      <c r="A24" s="61" t="s">
        <v>83</v>
      </c>
      <c r="B24" s="23">
        <v>6.1078165737948012E-2</v>
      </c>
      <c r="C24" s="3">
        <v>6.4878036067966244E-2</v>
      </c>
      <c r="D24" s="20">
        <v>5.7421247993579477E-2</v>
      </c>
      <c r="E24" s="25">
        <v>4.0039062500000507E-2</v>
      </c>
      <c r="F24" s="3">
        <v>4.004854368932103E-2</v>
      </c>
      <c r="G24" s="6">
        <v>4.0032679738562504E-2</v>
      </c>
      <c r="H24" s="23">
        <v>4.32489451476799E-2</v>
      </c>
      <c r="I24" s="3">
        <v>4.7897196261682935E-2</v>
      </c>
      <c r="J24" s="6">
        <v>3.9423076923077408E-2</v>
      </c>
    </row>
    <row r="25" spans="1:10" x14ac:dyDescent="0.45">
      <c r="A25" s="61" t="s">
        <v>84</v>
      </c>
      <c r="B25" s="23">
        <v>6.3225295230305276E-2</v>
      </c>
      <c r="C25" s="3">
        <v>6.1021057020744313E-2</v>
      </c>
      <c r="D25" s="20">
        <v>6.5346609149277729E-2</v>
      </c>
      <c r="E25" s="25">
        <v>5.0455729166667365E-2</v>
      </c>
      <c r="F25" s="3">
        <v>5.2993527508091526E-2</v>
      </c>
      <c r="G25" s="6">
        <v>4.8747276688453724E-2</v>
      </c>
      <c r="H25" s="23">
        <v>4.6061884669480316E-2</v>
      </c>
      <c r="I25" s="3">
        <v>5.1012461059190876E-2</v>
      </c>
      <c r="J25" s="6">
        <v>4.1987179487180094E-2</v>
      </c>
    </row>
    <row r="26" spans="1:10" x14ac:dyDescent="0.45">
      <c r="A26" s="61" t="s">
        <v>85</v>
      </c>
      <c r="B26" s="23">
        <v>6.5219058330351271E-2</v>
      </c>
      <c r="C26" s="3">
        <v>6.4982278744918201E-2</v>
      </c>
      <c r="D26" s="20">
        <v>6.5446930176565041E-2</v>
      </c>
      <c r="E26" s="25">
        <v>4.9153645833334099E-2</v>
      </c>
      <c r="F26" s="3">
        <v>4.6521035598706427E-2</v>
      </c>
      <c r="G26" s="6">
        <v>5.0925925925926575E-2</v>
      </c>
      <c r="H26" s="23">
        <v>5.3094233473981185E-2</v>
      </c>
      <c r="I26" s="3">
        <v>5.4127725856698797E-2</v>
      </c>
      <c r="J26" s="6">
        <v>5.2243589743590536E-2</v>
      </c>
    </row>
    <row r="27" spans="1:10" x14ac:dyDescent="0.45">
      <c r="A27" s="61" t="s">
        <v>86</v>
      </c>
      <c r="B27" s="23">
        <v>6.179387556873378E-2</v>
      </c>
      <c r="C27" s="3">
        <v>5.9561659543417106E-2</v>
      </c>
      <c r="D27" s="20">
        <v>6.3942114767255254E-2</v>
      </c>
      <c r="E27" s="25">
        <v>5.5664062500000923E-2</v>
      </c>
      <c r="F27" s="3">
        <v>4.9757281553399133E-2</v>
      </c>
      <c r="G27" s="6">
        <v>5.9640522875817795E-2</v>
      </c>
      <c r="H27" s="23">
        <v>6.4345991561182536E-2</v>
      </c>
      <c r="I27" s="3">
        <v>5.7242990654206731E-2</v>
      </c>
      <c r="J27" s="6">
        <v>7.0192307692308761E-2</v>
      </c>
    </row>
    <row r="28" spans="1:10" x14ac:dyDescent="0.45">
      <c r="A28" s="61" t="s">
        <v>87</v>
      </c>
      <c r="B28" s="23">
        <v>6.1282654261029669E-2</v>
      </c>
      <c r="C28" s="3">
        <v>5.987438757427295E-2</v>
      </c>
      <c r="D28" s="20">
        <v>6.2637941412520104E-2</v>
      </c>
      <c r="E28" s="25">
        <v>5.0455729166667622E-2</v>
      </c>
      <c r="F28" s="3">
        <v>5.2993527508091831E-2</v>
      </c>
      <c r="G28" s="6">
        <v>4.8747276688453939E-2</v>
      </c>
      <c r="H28" s="23">
        <v>4.6061884669480586E-2</v>
      </c>
      <c r="I28" s="3">
        <v>5.1012461059191175E-2</v>
      </c>
      <c r="J28" s="6">
        <v>4.1987179487180337E-2</v>
      </c>
    </row>
    <row r="29" spans="1:10" x14ac:dyDescent="0.45">
      <c r="A29" s="61" t="s">
        <v>88</v>
      </c>
      <c r="B29" s="23">
        <v>5.2336281376207737E-2</v>
      </c>
      <c r="C29" s="3">
        <v>5.0284061294693989E-2</v>
      </c>
      <c r="D29" s="20">
        <v>5.4311296147672494E-2</v>
      </c>
      <c r="E29" s="25">
        <v>6.4778645833332191E-2</v>
      </c>
      <c r="F29" s="3">
        <v>7.5647249190937238E-2</v>
      </c>
      <c r="G29" s="6">
        <v>5.7461873638343201E-2</v>
      </c>
      <c r="H29" s="23">
        <v>5.7313642756679425E-2</v>
      </c>
      <c r="I29" s="3">
        <v>6.3473520249219803E-2</v>
      </c>
      <c r="J29" s="6">
        <v>5.2243589743588496E-2</v>
      </c>
    </row>
    <row r="30" spans="1:10" x14ac:dyDescent="0.45">
      <c r="A30" s="61" t="s">
        <v>89</v>
      </c>
      <c r="B30" s="23">
        <v>4.2776442922140959E-2</v>
      </c>
      <c r="C30" s="3">
        <v>4.361252996976956E-2</v>
      </c>
      <c r="D30" s="20">
        <v>4.19718097913322E-2</v>
      </c>
      <c r="E30" s="25">
        <v>5.1757812499998536E-2</v>
      </c>
      <c r="F30" s="3">
        <v>5.9466019417474016E-2</v>
      </c>
      <c r="G30" s="6">
        <v>4.6568627450979116E-2</v>
      </c>
      <c r="H30" s="23">
        <v>6.0126582278479529E-2</v>
      </c>
      <c r="I30" s="3">
        <v>5.7242990654203921E-2</v>
      </c>
      <c r="J30" s="6">
        <v>6.2499999999998675E-2</v>
      </c>
    </row>
    <row r="31" spans="1:10" x14ac:dyDescent="0.45">
      <c r="A31" s="61" t="s">
        <v>90</v>
      </c>
      <c r="B31" s="23">
        <v>3.6795153622002912E-2</v>
      </c>
      <c r="C31" s="3">
        <v>3.4543417074950407E-2</v>
      </c>
      <c r="D31" s="20">
        <v>3.8962178972712612E-2</v>
      </c>
      <c r="E31" s="25">
        <v>6.6080729166665172E-2</v>
      </c>
      <c r="F31" s="3">
        <v>6.2702265372166402E-2</v>
      </c>
      <c r="G31" s="6">
        <v>6.8355119825706828E-2</v>
      </c>
      <c r="H31" s="23">
        <v>5.8720112517579193E-2</v>
      </c>
      <c r="I31" s="3">
        <v>6.035825545171155E-2</v>
      </c>
      <c r="J31" s="6">
        <v>5.7371794871793329E-2</v>
      </c>
    </row>
    <row r="32" spans="1:10" x14ac:dyDescent="0.45">
      <c r="A32" s="61" t="s">
        <v>91</v>
      </c>
      <c r="B32" s="23">
        <v>2.912683400644132E-2</v>
      </c>
      <c r="C32" s="3">
        <v>2.9018555196497365E-2</v>
      </c>
      <c r="D32" s="20">
        <v>2.923103932584261E-2</v>
      </c>
      <c r="E32" s="25">
        <v>5.3059895833331545E-2</v>
      </c>
      <c r="F32" s="3">
        <v>6.5938511326858795E-2</v>
      </c>
      <c r="G32" s="6">
        <v>4.438997821350605E-2</v>
      </c>
      <c r="H32" s="23">
        <v>6.9971870604780259E-2</v>
      </c>
      <c r="I32" s="3">
        <v>7.2819314641742655E-2</v>
      </c>
      <c r="J32" s="6">
        <v>6.7628205128203528E-2</v>
      </c>
    </row>
    <row r="33" spans="1:10" x14ac:dyDescent="0.45">
      <c r="A33" s="61" t="s">
        <v>92</v>
      </c>
      <c r="B33" s="23">
        <v>2.6212872552527914E-2</v>
      </c>
      <c r="C33" s="3">
        <v>2.7663400396122081E-2</v>
      </c>
      <c r="D33" s="20">
        <v>2.4816914125200554E-2</v>
      </c>
      <c r="E33" s="25">
        <v>6.3476562499998154E-2</v>
      </c>
      <c r="F33" s="3">
        <v>6.9174757281551189E-2</v>
      </c>
      <c r="G33" s="6">
        <v>5.9640522875815415E-2</v>
      </c>
      <c r="H33" s="23">
        <v>6.0126582278478995E-2</v>
      </c>
      <c r="I33" s="3">
        <v>6.6588785046726801E-2</v>
      </c>
      <c r="J33" s="6">
        <v>5.4807692307690413E-2</v>
      </c>
    </row>
    <row r="34" spans="1:10" x14ac:dyDescent="0.45">
      <c r="A34" s="61" t="s">
        <v>93</v>
      </c>
      <c r="B34" s="23">
        <v>1.9771484075456175E-2</v>
      </c>
      <c r="C34" s="3">
        <v>1.8907015532158764E-2</v>
      </c>
      <c r="D34" s="20">
        <v>2.0603430979133128E-2</v>
      </c>
      <c r="E34" s="25">
        <v>6.2174479166664638E-2</v>
      </c>
      <c r="F34" s="3">
        <v>7.2411003236243582E-2</v>
      </c>
      <c r="G34" s="6">
        <v>5.5283224400869697E-2</v>
      </c>
      <c r="H34" s="23">
        <v>6.2939521800279119E-2</v>
      </c>
      <c r="I34" s="3">
        <v>6.9704049844234436E-2</v>
      </c>
      <c r="J34" s="6">
        <v>5.7371794871792836E-2</v>
      </c>
    </row>
    <row r="35" spans="1:10" ht="14.65" thickBot="1" x14ac:dyDescent="0.5">
      <c r="A35" s="63" t="s">
        <v>94</v>
      </c>
      <c r="B35" s="24">
        <v>1.7419866060017285E-2</v>
      </c>
      <c r="C35" s="8">
        <v>1.796883143959126E-2</v>
      </c>
      <c r="D35" s="21">
        <v>1.6891552969502305E-2</v>
      </c>
      <c r="E35" s="26">
        <v>6.0872395833331129E-2</v>
      </c>
      <c r="F35" s="8">
        <v>7.5647249190935975E-2</v>
      </c>
      <c r="G35" s="9">
        <v>5.0925925925923987E-2</v>
      </c>
      <c r="H35" s="24">
        <v>6.9971870604779718E-2</v>
      </c>
      <c r="I35" s="8">
        <v>7.2819314641742058E-2</v>
      </c>
      <c r="J35" s="9">
        <v>6.7628205128203028E-2</v>
      </c>
    </row>
    <row r="36" spans="1:10" x14ac:dyDescent="0.45">
      <c r="B36" s="11">
        <f t="shared" ref="B36:J36" si="0">SUM(B12:B35)</f>
        <v>1.0000000000000004</v>
      </c>
      <c r="C36" s="11">
        <f t="shared" si="0"/>
        <v>1</v>
      </c>
      <c r="D36" s="11">
        <f t="shared" si="0"/>
        <v>0.99999999999999978</v>
      </c>
      <c r="E36" s="11">
        <f t="shared" si="0"/>
        <v>0.99999999999999989</v>
      </c>
      <c r="F36" s="11">
        <f t="shared" si="0"/>
        <v>1</v>
      </c>
      <c r="G36" s="11">
        <f t="shared" si="0"/>
        <v>1</v>
      </c>
      <c r="H36" s="11">
        <f t="shared" si="0"/>
        <v>1</v>
      </c>
      <c r="I36" s="11">
        <f t="shared" si="0"/>
        <v>0.99999999999999989</v>
      </c>
      <c r="J36" s="11">
        <f t="shared" si="0"/>
        <v>1.0000000000000002</v>
      </c>
    </row>
  </sheetData>
  <mergeCells count="21">
    <mergeCell ref="A1:J2"/>
    <mergeCell ref="A3:J3"/>
    <mergeCell ref="A4:J4"/>
    <mergeCell ref="H10:J10"/>
    <mergeCell ref="B8:D8"/>
    <mergeCell ref="B9:D9"/>
    <mergeCell ref="B10:D10"/>
    <mergeCell ref="E5:G5"/>
    <mergeCell ref="E6:G6"/>
    <mergeCell ref="E7:G7"/>
    <mergeCell ref="E8:G8"/>
    <mergeCell ref="E9:G9"/>
    <mergeCell ref="E10:G10"/>
    <mergeCell ref="B5:D5"/>
    <mergeCell ref="B6:D6"/>
    <mergeCell ref="B7:D7"/>
    <mergeCell ref="H5:J5"/>
    <mergeCell ref="H6:J6"/>
    <mergeCell ref="H7:J7"/>
    <mergeCell ref="H8:J8"/>
    <mergeCell ref="H9:J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36"/>
  <sheetViews>
    <sheetView topLeftCell="A3" zoomScaleNormal="100" workbookViewId="0">
      <selection activeCell="I23" sqref="I23"/>
    </sheetView>
  </sheetViews>
  <sheetFormatPr defaultColWidth="9.06640625"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110</v>
      </c>
      <c r="C5" s="102"/>
      <c r="D5" s="103"/>
    </row>
    <row r="6" spans="1:4" x14ac:dyDescent="0.45">
      <c r="A6" s="61" t="s">
        <v>0</v>
      </c>
      <c r="B6" s="87" t="s">
        <v>1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27</v>
      </c>
      <c r="C9" s="91"/>
      <c r="D9" s="92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4.992511233150275E-4</v>
      </c>
      <c r="C13" s="3">
        <v>0</v>
      </c>
      <c r="D13" s="6">
        <v>9.9502487562189048E-4</v>
      </c>
    </row>
    <row r="14" spans="1:4" x14ac:dyDescent="0.45">
      <c r="A14" s="61" t="s">
        <v>73</v>
      </c>
      <c r="B14" s="23">
        <v>4.992511233150275E-4</v>
      </c>
      <c r="C14" s="3">
        <v>0</v>
      </c>
      <c r="D14" s="6">
        <v>9.9502487562189048E-4</v>
      </c>
    </row>
    <row r="15" spans="1:4" x14ac:dyDescent="0.45">
      <c r="A15" s="61" t="s">
        <v>74</v>
      </c>
      <c r="B15" s="23">
        <v>4.992511233150275E-4</v>
      </c>
      <c r="C15" s="3">
        <v>1.002004008016032E-3</v>
      </c>
      <c r="D15" s="6">
        <v>0</v>
      </c>
    </row>
    <row r="16" spans="1:4" x14ac:dyDescent="0.45">
      <c r="A16" s="61" t="s">
        <v>75</v>
      </c>
      <c r="B16" s="23">
        <v>2.9955067398901645E-3</v>
      </c>
      <c r="C16" s="3">
        <v>6.0120240480961923E-3</v>
      </c>
      <c r="D16" s="6">
        <v>0</v>
      </c>
    </row>
    <row r="17" spans="1:4" x14ac:dyDescent="0.45">
      <c r="A17" s="61" t="s">
        <v>76</v>
      </c>
      <c r="B17" s="23">
        <v>2.8956565152271591E-2</v>
      </c>
      <c r="C17" s="3">
        <v>5.410821643286573E-2</v>
      </c>
      <c r="D17" s="6">
        <v>3.9800995024875619E-3</v>
      </c>
    </row>
    <row r="18" spans="1:4" x14ac:dyDescent="0.45">
      <c r="A18" s="61" t="s">
        <v>77</v>
      </c>
      <c r="B18" s="23">
        <v>3.9440838741887169E-2</v>
      </c>
      <c r="C18" s="3">
        <v>7.2144288577154311E-2</v>
      </c>
      <c r="D18" s="6">
        <v>6.965174129353234E-3</v>
      </c>
    </row>
    <row r="19" spans="1:4" x14ac:dyDescent="0.45">
      <c r="A19" s="61" t="s">
        <v>78</v>
      </c>
      <c r="B19" s="23">
        <v>0.10134797803295058</v>
      </c>
      <c r="C19" s="3">
        <v>0.18036072144288579</v>
      </c>
      <c r="D19" s="6">
        <v>2.2885572139303482E-2</v>
      </c>
    </row>
    <row r="20" spans="1:4" x14ac:dyDescent="0.45">
      <c r="A20" s="61" t="s">
        <v>79</v>
      </c>
      <c r="B20" s="23">
        <v>7.6884672990514227E-2</v>
      </c>
      <c r="C20" s="3">
        <v>0.10821643286573146</v>
      </c>
      <c r="D20" s="6">
        <v>4.5771144278606964E-2</v>
      </c>
    </row>
    <row r="21" spans="1:4" x14ac:dyDescent="0.45">
      <c r="A21" s="61" t="s">
        <v>80</v>
      </c>
      <c r="B21" s="23">
        <v>7.2890664003994007E-2</v>
      </c>
      <c r="C21" s="3">
        <v>7.3146292585170344E-2</v>
      </c>
      <c r="D21" s="6">
        <v>7.2636815920398015E-2</v>
      </c>
    </row>
    <row r="22" spans="1:4" x14ac:dyDescent="0.45">
      <c r="A22" s="61" t="s">
        <v>81</v>
      </c>
      <c r="B22" s="23">
        <v>7.7383924113829258E-2</v>
      </c>
      <c r="C22" s="3">
        <v>7.7154308617234463E-2</v>
      </c>
      <c r="D22" s="6">
        <v>7.7611940298507459E-2</v>
      </c>
    </row>
    <row r="23" spans="1:4" x14ac:dyDescent="0.45">
      <c r="A23" s="61" t="s">
        <v>82</v>
      </c>
      <c r="B23" s="23">
        <v>7.4887668497254117E-2</v>
      </c>
      <c r="C23" s="3">
        <v>6.513026052104208E-2</v>
      </c>
      <c r="D23" s="6">
        <v>8.45771144278607E-2</v>
      </c>
    </row>
    <row r="24" spans="1:4" x14ac:dyDescent="0.45">
      <c r="A24" s="61" t="s">
        <v>83</v>
      </c>
      <c r="B24" s="23">
        <v>9.9350973539690468E-2</v>
      </c>
      <c r="C24" s="3">
        <v>9.0180360721442893E-2</v>
      </c>
      <c r="D24" s="6">
        <v>0.10845771144278607</v>
      </c>
    </row>
    <row r="25" spans="1:4" x14ac:dyDescent="0.45">
      <c r="A25" s="61" t="s">
        <v>84</v>
      </c>
      <c r="B25" s="23">
        <v>7.8881677483774337E-2</v>
      </c>
      <c r="C25" s="3">
        <v>8.5170340681362727E-2</v>
      </c>
      <c r="D25" s="6">
        <v>7.2636815920398015E-2</v>
      </c>
    </row>
    <row r="26" spans="1:4" x14ac:dyDescent="0.45">
      <c r="A26" s="61" t="s">
        <v>85</v>
      </c>
      <c r="B26" s="23">
        <v>8.0878681977034447E-2</v>
      </c>
      <c r="C26" s="3">
        <v>7.3146292585170344E-2</v>
      </c>
      <c r="D26" s="6">
        <v>8.8557213930348253E-2</v>
      </c>
    </row>
    <row r="27" spans="1:4" x14ac:dyDescent="0.45">
      <c r="A27" s="61" t="s">
        <v>86</v>
      </c>
      <c r="B27" s="23">
        <v>8.6869695456814777E-2</v>
      </c>
      <c r="C27" s="3">
        <v>6.0120240480961921E-2</v>
      </c>
      <c r="D27" s="6">
        <v>0.11343283582089553</v>
      </c>
    </row>
    <row r="28" spans="1:4" x14ac:dyDescent="0.45">
      <c r="A28" s="61" t="s">
        <v>87</v>
      </c>
      <c r="B28" s="23">
        <v>7.4887668497254117E-2</v>
      </c>
      <c r="C28" s="3">
        <v>4.1082164328657314E-2</v>
      </c>
      <c r="D28" s="6">
        <v>0.10845771144278607</v>
      </c>
    </row>
    <row r="29" spans="1:4" x14ac:dyDescent="0.45">
      <c r="A29" s="61" t="s">
        <v>88</v>
      </c>
      <c r="B29" s="23">
        <v>8.9865202196704949E-2</v>
      </c>
      <c r="C29" s="3">
        <v>1.2024048096192385E-2</v>
      </c>
      <c r="D29" s="6">
        <v>0.16716417910447762</v>
      </c>
    </row>
    <row r="30" spans="1:4" x14ac:dyDescent="0.45">
      <c r="A30" s="61" t="s">
        <v>89</v>
      </c>
      <c r="B30" s="23">
        <v>1.2481278082875686E-2</v>
      </c>
      <c r="C30" s="3">
        <v>1.002004008016032E-3</v>
      </c>
      <c r="D30" s="6">
        <v>2.3880597014925373E-2</v>
      </c>
    </row>
    <row r="31" spans="1:4" x14ac:dyDescent="0.45">
      <c r="A31" s="61" t="s">
        <v>90</v>
      </c>
      <c r="B31" s="23">
        <v>4.992511233150275E-4</v>
      </c>
      <c r="C31" s="3">
        <v>0</v>
      </c>
      <c r="D31" s="6">
        <v>9.9502487562189048E-4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A1:D2"/>
    <mergeCell ref="A3:D3"/>
    <mergeCell ref="B5:D5"/>
    <mergeCell ref="B10:D10"/>
    <mergeCell ref="B9:D9"/>
    <mergeCell ref="B8:D8"/>
    <mergeCell ref="B7:D7"/>
    <mergeCell ref="B6:D6"/>
    <mergeCell ref="A4: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36"/>
  <sheetViews>
    <sheetView workbookViewId="0">
      <selection activeCell="B36" sqref="B36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18" t="s">
        <v>68</v>
      </c>
      <c r="B5" s="106">
        <v>140</v>
      </c>
      <c r="C5" s="127"/>
      <c r="D5" s="128"/>
    </row>
    <row r="6" spans="1:4" x14ac:dyDescent="0.45">
      <c r="A6" s="4" t="s">
        <v>0</v>
      </c>
      <c r="B6" s="104" t="s">
        <v>2</v>
      </c>
      <c r="C6" s="122"/>
      <c r="D6" s="123"/>
    </row>
    <row r="7" spans="1:4" x14ac:dyDescent="0.45">
      <c r="A7" s="4" t="s">
        <v>54</v>
      </c>
      <c r="B7" s="104" t="s">
        <v>55</v>
      </c>
      <c r="C7" s="122"/>
      <c r="D7" s="123"/>
    </row>
    <row r="8" spans="1:4" x14ac:dyDescent="0.45">
      <c r="A8" s="4" t="s">
        <v>59</v>
      </c>
      <c r="B8" s="104" t="s">
        <v>60</v>
      </c>
      <c r="C8" s="122"/>
      <c r="D8" s="123"/>
    </row>
    <row r="9" spans="1:4" ht="14.65" thickBot="1" x14ac:dyDescent="0.5">
      <c r="A9" s="7" t="s">
        <v>64</v>
      </c>
      <c r="B9" s="91">
        <v>22</v>
      </c>
      <c r="C9" s="91"/>
      <c r="D9" s="92"/>
    </row>
    <row r="10" spans="1:4" x14ac:dyDescent="0.45">
      <c r="A10" s="65"/>
      <c r="B10" s="124" t="s">
        <v>134</v>
      </c>
      <c r="C10" s="125"/>
      <c r="D10" s="126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1.2622770627238237E-2</v>
      </c>
      <c r="C12" s="3">
        <v>5.2134704804847106E-3</v>
      </c>
      <c r="D12" s="6">
        <v>2.0194786594099113E-2</v>
      </c>
    </row>
    <row r="13" spans="1:4" x14ac:dyDescent="0.45">
      <c r="A13" s="61" t="s">
        <v>72</v>
      </c>
      <c r="B13" s="25">
        <v>9.7507357373329065E-3</v>
      </c>
      <c r="C13" s="3">
        <v>4.8612089615330412E-3</v>
      </c>
      <c r="D13" s="6">
        <v>1.4752219994270985E-2</v>
      </c>
    </row>
    <row r="14" spans="1:4" x14ac:dyDescent="0.45">
      <c r="A14" s="61" t="s">
        <v>73</v>
      </c>
      <c r="B14" s="25">
        <v>7.5878452646881535E-3</v>
      </c>
      <c r="C14" s="3">
        <v>4.5089474425813727E-3</v>
      </c>
      <c r="D14" s="6">
        <v>1.0741907762818678E-2</v>
      </c>
    </row>
    <row r="15" spans="1:4" x14ac:dyDescent="0.45">
      <c r="A15" s="61" t="s">
        <v>74</v>
      </c>
      <c r="B15" s="25">
        <v>7.7651313690032973E-3</v>
      </c>
      <c r="C15" s="3">
        <v>7.8202057207270668E-3</v>
      </c>
      <c r="D15" s="6">
        <v>7.7341735892294478E-3</v>
      </c>
    </row>
    <row r="16" spans="1:4" x14ac:dyDescent="0.45">
      <c r="A16" s="61" t="s">
        <v>75</v>
      </c>
      <c r="B16" s="25">
        <v>1.2693685068964294E-2</v>
      </c>
      <c r="C16" s="3">
        <v>1.8176694377906154E-2</v>
      </c>
      <c r="D16" s="6">
        <v>7.1612718418791179E-3</v>
      </c>
    </row>
    <row r="17" spans="1:4" x14ac:dyDescent="0.45">
      <c r="A17" s="61" t="s">
        <v>76</v>
      </c>
      <c r="B17" s="25">
        <v>2.0919760309186967E-2</v>
      </c>
      <c r="C17" s="3">
        <v>3.7480625616457652E-2</v>
      </c>
      <c r="D17" s="6">
        <v>4.1535376682898884E-3</v>
      </c>
    </row>
    <row r="18" spans="1:4" x14ac:dyDescent="0.45">
      <c r="A18" s="61" t="s">
        <v>77</v>
      </c>
      <c r="B18" s="25">
        <v>9.2685175335957173E-2</v>
      </c>
      <c r="C18" s="3">
        <v>0.15809496970550935</v>
      </c>
      <c r="D18" s="6">
        <v>2.649670581495274E-2</v>
      </c>
    </row>
    <row r="19" spans="1:4" x14ac:dyDescent="0.45">
      <c r="A19" s="61" t="s">
        <v>78</v>
      </c>
      <c r="B19" s="25">
        <v>8.2048009077048539E-2</v>
      </c>
      <c r="C19" s="3">
        <v>0.12927997745526279</v>
      </c>
      <c r="D19" s="6">
        <v>3.4302492122600975E-2</v>
      </c>
    </row>
    <row r="20" spans="1:4" x14ac:dyDescent="0.45">
      <c r="A20" s="61" t="s">
        <v>79</v>
      </c>
      <c r="B20" s="25">
        <v>4.4179697195333836E-2</v>
      </c>
      <c r="C20" s="3">
        <v>6.0729885867267859E-2</v>
      </c>
      <c r="D20" s="6">
        <v>2.7499283872815816E-2</v>
      </c>
    </row>
    <row r="21" spans="1:4" x14ac:dyDescent="0.45">
      <c r="A21" s="61" t="s">
        <v>80</v>
      </c>
      <c r="B21" s="25">
        <v>3.53863064213027E-2</v>
      </c>
      <c r="C21" s="3">
        <v>3.9735099337748339E-2</v>
      </c>
      <c r="D21" s="6">
        <v>3.1079919793755378E-2</v>
      </c>
    </row>
    <row r="22" spans="1:4" x14ac:dyDescent="0.45">
      <c r="A22" s="61" t="s">
        <v>81</v>
      </c>
      <c r="B22" s="25">
        <v>3.3932560365918518E-2</v>
      </c>
      <c r="C22" s="3">
        <v>3.5367056502747636E-2</v>
      </c>
      <c r="D22" s="6">
        <v>3.2583786880549991E-2</v>
      </c>
    </row>
    <row r="23" spans="1:4" x14ac:dyDescent="0.45">
      <c r="A23" s="61" t="s">
        <v>82</v>
      </c>
      <c r="B23" s="25">
        <v>5.7972556111052016E-2</v>
      </c>
      <c r="C23" s="3">
        <v>6.566154713259123E-2</v>
      </c>
      <c r="D23" s="6">
        <v>5.0343741048410204E-2</v>
      </c>
    </row>
    <row r="24" spans="1:4" x14ac:dyDescent="0.45">
      <c r="A24" s="61" t="s">
        <v>83</v>
      </c>
      <c r="B24" s="25">
        <v>7.4885650462716738E-2</v>
      </c>
      <c r="C24" s="3">
        <v>8.5810906016626734E-2</v>
      </c>
      <c r="D24" s="6">
        <v>6.4021770266399325E-2</v>
      </c>
    </row>
    <row r="25" spans="1:4" x14ac:dyDescent="0.45">
      <c r="A25" s="61" t="s">
        <v>84</v>
      </c>
      <c r="B25" s="25">
        <v>6.6801404105946177E-2</v>
      </c>
      <c r="C25" s="3">
        <v>6.728195011976891E-2</v>
      </c>
      <c r="D25" s="6">
        <v>6.652821541105701E-2</v>
      </c>
    </row>
    <row r="26" spans="1:4" x14ac:dyDescent="0.45">
      <c r="A26" s="61" t="s">
        <v>85</v>
      </c>
      <c r="B26" s="25">
        <v>6.073821933836826E-2</v>
      </c>
      <c r="C26" s="3">
        <v>5.0584754121459768E-2</v>
      </c>
      <c r="D26" s="6">
        <v>7.1254654826697239E-2</v>
      </c>
    </row>
    <row r="27" spans="1:4" x14ac:dyDescent="0.45">
      <c r="A27" s="61" t="s">
        <v>86</v>
      </c>
      <c r="B27" s="25">
        <v>0.13913413466652483</v>
      </c>
      <c r="C27" s="3">
        <v>8.7431309003804414E-2</v>
      </c>
      <c r="D27" s="6">
        <v>0.19213692351761674</v>
      </c>
    </row>
    <row r="28" spans="1:4" x14ac:dyDescent="0.45">
      <c r="A28" s="61" t="s">
        <v>87</v>
      </c>
      <c r="B28" s="25">
        <v>7.3219161082154371E-2</v>
      </c>
      <c r="C28" s="3">
        <v>3.402846273073129E-2</v>
      </c>
      <c r="D28" s="6">
        <v>0.11329132053852764</v>
      </c>
    </row>
    <row r="29" spans="1:4" x14ac:dyDescent="0.45">
      <c r="A29" s="61" t="s">
        <v>88</v>
      </c>
      <c r="B29" s="25">
        <v>5.8398042761408364E-2</v>
      </c>
      <c r="C29" s="3">
        <v>2.5855995491052556E-2</v>
      </c>
      <c r="D29" s="6">
        <v>9.1664279576052721E-2</v>
      </c>
    </row>
    <row r="30" spans="1:4" x14ac:dyDescent="0.45">
      <c r="A30" s="61" t="s">
        <v>89</v>
      </c>
      <c r="B30" s="25">
        <v>1.964330035811793E-2</v>
      </c>
      <c r="C30" s="3">
        <v>1.3456390023953782E-2</v>
      </c>
      <c r="D30" s="6">
        <v>2.59954167860212E-2</v>
      </c>
    </row>
    <row r="31" spans="1:4" x14ac:dyDescent="0.45">
      <c r="A31" s="61" t="s">
        <v>90</v>
      </c>
      <c r="B31" s="25">
        <v>1.4750203879019961E-2</v>
      </c>
      <c r="C31" s="3">
        <v>1.4020008454276455E-2</v>
      </c>
      <c r="D31" s="6">
        <v>1.5539959896877686E-2</v>
      </c>
    </row>
    <row r="32" spans="1:4" x14ac:dyDescent="0.45">
      <c r="A32" s="61" t="s">
        <v>91</v>
      </c>
      <c r="B32" s="25">
        <v>1.425380278693756E-2</v>
      </c>
      <c r="C32" s="3">
        <v>1.1272368606453429E-2</v>
      </c>
      <c r="D32" s="6">
        <v>1.7330277857347469E-2</v>
      </c>
    </row>
    <row r="33" spans="1:4" x14ac:dyDescent="0.45">
      <c r="A33" s="61" t="s">
        <v>92</v>
      </c>
      <c r="B33" s="25">
        <v>1.6700351026486544E-2</v>
      </c>
      <c r="C33" s="3">
        <v>1.2540510074679441E-2</v>
      </c>
      <c r="D33" s="6">
        <v>2.0982526496705817E-2</v>
      </c>
    </row>
    <row r="34" spans="1:4" x14ac:dyDescent="0.45">
      <c r="A34" s="61" t="s">
        <v>93</v>
      </c>
      <c r="B34" s="25">
        <v>2.0919760309186963E-2</v>
      </c>
      <c r="C34" s="3">
        <v>1.7401719036212484E-2</v>
      </c>
      <c r="D34" s="6">
        <v>2.4563162417645376E-2</v>
      </c>
    </row>
    <row r="35" spans="1:4" ht="14.65" thickBot="1" x14ac:dyDescent="0.5">
      <c r="A35" s="63" t="s">
        <v>94</v>
      </c>
      <c r="B35" s="26">
        <v>2.3011736340105664E-2</v>
      </c>
      <c r="C35" s="8">
        <v>1.3385937720163449E-2</v>
      </c>
      <c r="D35" s="9">
        <v>2.9647665425379551E-2</v>
      </c>
    </row>
    <row r="36" spans="1:4" x14ac:dyDescent="0.45">
      <c r="B36" s="11">
        <f>SUM(B12:B35)</f>
        <v>0.99999999999999978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D36"/>
  <sheetViews>
    <sheetView workbookViewId="0">
      <selection activeCell="A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150</v>
      </c>
      <c r="C5" s="102"/>
      <c r="D5" s="103"/>
    </row>
    <row r="6" spans="1:4" x14ac:dyDescent="0.45">
      <c r="A6" s="61" t="s">
        <v>0</v>
      </c>
      <c r="B6" s="87" t="s">
        <v>158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51</v>
      </c>
      <c r="C9" s="91"/>
      <c r="D9" s="92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1.650531454333741E-2</v>
      </c>
      <c r="C12" s="3">
        <v>1.2848660722808764E-2</v>
      </c>
      <c r="D12" s="6">
        <v>2.000051096195888E-2</v>
      </c>
    </row>
    <row r="13" spans="1:4" x14ac:dyDescent="0.45">
      <c r="A13" s="61" t="s">
        <v>72</v>
      </c>
      <c r="B13" s="23">
        <v>1.9033827964052185E-2</v>
      </c>
      <c r="C13" s="3">
        <v>1.582695355008687E-2</v>
      </c>
      <c r="D13" s="6">
        <v>2.2099104721653471E-2</v>
      </c>
    </row>
    <row r="14" spans="1:4" x14ac:dyDescent="0.45">
      <c r="A14" s="61" t="s">
        <v>73</v>
      </c>
      <c r="B14" s="23">
        <v>2.1674305078673139E-2</v>
      </c>
      <c r="C14" s="3">
        <v>2.2509020790774936E-2</v>
      </c>
      <c r="D14" s="6">
        <v>2.0876445748614008E-2</v>
      </c>
    </row>
    <row r="15" spans="1:4" x14ac:dyDescent="0.45">
      <c r="A15" s="61" t="s">
        <v>74</v>
      </c>
      <c r="B15" s="23">
        <v>3.2282865076284584E-2</v>
      </c>
      <c r="C15" s="3">
        <v>4.1657916340518159E-2</v>
      </c>
      <c r="D15" s="6">
        <v>2.3321763694692927E-2</v>
      </c>
    </row>
    <row r="16" spans="1:4" x14ac:dyDescent="0.45">
      <c r="A16" s="61" t="s">
        <v>75</v>
      </c>
      <c r="B16" s="23">
        <v>4.4095034783387554E-2</v>
      </c>
      <c r="C16" s="3">
        <v>6.2754157200404767E-2</v>
      </c>
      <c r="D16" s="6">
        <v>2.6259794958265345E-2</v>
      </c>
    </row>
    <row r="17" spans="1:4" x14ac:dyDescent="0.45">
      <c r="A17" s="61" t="s">
        <v>76</v>
      </c>
      <c r="B17" s="23">
        <v>5.7715418147075481E-2</v>
      </c>
      <c r="C17" s="3">
        <v>8.7145611790984984E-2</v>
      </c>
      <c r="D17" s="6">
        <v>2.9584697419277127E-2</v>
      </c>
    </row>
    <row r="18" spans="1:4" x14ac:dyDescent="0.45">
      <c r="A18" s="61" t="s">
        <v>77</v>
      </c>
      <c r="B18" s="23">
        <v>5.9281043800197032E-2</v>
      </c>
      <c r="C18" s="3">
        <v>7.9371503846961594E-2</v>
      </c>
      <c r="D18" s="6">
        <v>4.007766621775008E-2</v>
      </c>
    </row>
    <row r="19" spans="1:4" x14ac:dyDescent="0.45">
      <c r="A19" s="61" t="s">
        <v>78</v>
      </c>
      <c r="B19" s="23">
        <v>5.1029319559310893E-2</v>
      </c>
      <c r="C19" s="3">
        <v>6.727123465510991E-2</v>
      </c>
      <c r="D19" s="6">
        <v>3.5504556685754737E-2</v>
      </c>
    </row>
    <row r="20" spans="1:4" x14ac:dyDescent="0.45">
      <c r="A20" s="61" t="s">
        <v>79</v>
      </c>
      <c r="B20" s="23">
        <v>4.5433000925566507E-2</v>
      </c>
      <c r="C20" s="3">
        <v>5.4101834704748115E-2</v>
      </c>
      <c r="D20" s="6">
        <v>3.7146934410733114E-2</v>
      </c>
    </row>
    <row r="21" spans="1:4" x14ac:dyDescent="0.45">
      <c r="A21" s="61" t="s">
        <v>80</v>
      </c>
      <c r="B21" s="23">
        <v>4.6737377959573612E-2</v>
      </c>
      <c r="C21" s="3">
        <v>5.2196490960117609E-2</v>
      </c>
      <c r="D21" s="6">
        <v>4.1519308887453324E-2</v>
      </c>
    </row>
    <row r="22" spans="1:4" x14ac:dyDescent="0.45">
      <c r="A22" s="61" t="s">
        <v>81</v>
      </c>
      <c r="B22" s="23">
        <v>5.0710223031678249E-2</v>
      </c>
      <c r="C22" s="3">
        <v>5.1005173829206371E-2</v>
      </c>
      <c r="D22" s="6">
        <v>5.0428295613391579E-2</v>
      </c>
    </row>
    <row r="23" spans="1:4" x14ac:dyDescent="0.45">
      <c r="A23" s="61" t="s">
        <v>82</v>
      </c>
      <c r="B23" s="23">
        <v>5.5101065894365975E-2</v>
      </c>
      <c r="C23" s="3">
        <v>5.325034842207757E-2</v>
      </c>
      <c r="D23" s="6">
        <v>5.6870066023584527E-2</v>
      </c>
    </row>
    <row r="24" spans="1:4" x14ac:dyDescent="0.45">
      <c r="A24" s="61" t="s">
        <v>83</v>
      </c>
      <c r="B24" s="23">
        <v>5.8909697548741501E-2</v>
      </c>
      <c r="C24" s="3">
        <v>5.6381374214857123E-2</v>
      </c>
      <c r="D24" s="6">
        <v>6.1326384250692534E-2</v>
      </c>
    </row>
    <row r="25" spans="1:4" x14ac:dyDescent="0.45">
      <c r="A25" s="61" t="s">
        <v>84</v>
      </c>
      <c r="B25" s="23">
        <v>6.7101707819544346E-2</v>
      </c>
      <c r="C25" s="3">
        <v>5.956203822142464E-2</v>
      </c>
      <c r="D25" s="6">
        <v>7.4308467734577152E-2</v>
      </c>
    </row>
    <row r="26" spans="1:4" x14ac:dyDescent="0.45">
      <c r="A26" s="61" t="s">
        <v>85</v>
      </c>
      <c r="B26" s="23">
        <v>7.296114113396826E-2</v>
      </c>
      <c r="C26" s="3">
        <v>5.5995723476965971E-2</v>
      </c>
      <c r="D26" s="6">
        <v>8.9177460738048039E-2</v>
      </c>
    </row>
    <row r="27" spans="1:4" x14ac:dyDescent="0.45">
      <c r="A27" s="61" t="s">
        <v>86</v>
      </c>
      <c r="B27" s="23">
        <v>6.162481712596659E-2</v>
      </c>
      <c r="C27" s="3">
        <v>4.1337177112965147E-2</v>
      </c>
      <c r="D27" s="6">
        <v>8.1016668309044387E-2</v>
      </c>
    </row>
    <row r="28" spans="1:4" x14ac:dyDescent="0.45">
      <c r="A28" s="61" t="s">
        <v>87</v>
      </c>
      <c r="B28" s="23">
        <v>4.8773251127101173E-2</v>
      </c>
      <c r="C28" s="3">
        <v>3.7217205368563738E-2</v>
      </c>
      <c r="D28" s="6">
        <v>5.9819046471990135E-2</v>
      </c>
    </row>
    <row r="29" spans="1:4" x14ac:dyDescent="0.45">
      <c r="A29" s="61" t="s">
        <v>88</v>
      </c>
      <c r="B29" s="23">
        <v>4.7390499507359712E-2</v>
      </c>
      <c r="C29" s="3">
        <v>3.8477252333950648E-2</v>
      </c>
      <c r="D29" s="6">
        <v>5.5910187486541613E-2</v>
      </c>
    </row>
    <row r="30" spans="1:4" x14ac:dyDescent="0.45">
      <c r="A30" s="61" t="s">
        <v>89</v>
      </c>
      <c r="B30" s="23">
        <v>4.0764114889678411E-2</v>
      </c>
      <c r="C30" s="3">
        <v>2.7763034804024526E-2</v>
      </c>
      <c r="D30" s="6">
        <v>5.3191139919632972E-2</v>
      </c>
    </row>
    <row r="31" spans="1:4" x14ac:dyDescent="0.45">
      <c r="A31" s="61" t="s">
        <v>90</v>
      </c>
      <c r="B31" s="23">
        <v>2.1211521810527569E-2</v>
      </c>
      <c r="C31" s="3">
        <v>1.9500181370396545E-2</v>
      </c>
      <c r="D31" s="6">
        <v>2.284729901858807E-2</v>
      </c>
    </row>
    <row r="32" spans="1:4" x14ac:dyDescent="0.45">
      <c r="A32" s="61" t="s">
        <v>91</v>
      </c>
      <c r="B32" s="23">
        <v>1.7847012808646569E-2</v>
      </c>
      <c r="C32" s="3">
        <v>1.6449340384505247E-2</v>
      </c>
      <c r="D32" s="6">
        <v>1.9182971827747423E-2</v>
      </c>
    </row>
    <row r="33" spans="1:4" x14ac:dyDescent="0.45">
      <c r="A33" s="61" t="s">
        <v>92</v>
      </c>
      <c r="B33" s="23">
        <v>2.0687158510733574E-2</v>
      </c>
      <c r="C33" s="3">
        <v>1.7747570591267497E-2</v>
      </c>
      <c r="D33" s="6">
        <v>2.3496950652023951E-2</v>
      </c>
    </row>
    <row r="34" spans="1:4" x14ac:dyDescent="0.45">
      <c r="A34" s="61" t="s">
        <v>93</v>
      </c>
      <c r="B34" s="23">
        <v>2.370644612307048E-2</v>
      </c>
      <c r="C34" s="3">
        <v>1.6235514232803224E-2</v>
      </c>
      <c r="D34" s="6">
        <v>3.0847503403371612E-2</v>
      </c>
    </row>
    <row r="35" spans="1:4" ht="14.65" thickBot="1" x14ac:dyDescent="0.5">
      <c r="A35" s="63" t="s">
        <v>94</v>
      </c>
      <c r="B35" s="24">
        <v>1.9423834831158737E-2</v>
      </c>
      <c r="C35" s="8">
        <v>1.3394681074476418E-2</v>
      </c>
      <c r="D35" s="9">
        <v>2.5186774844612812E-2</v>
      </c>
    </row>
    <row r="36" spans="1:4" x14ac:dyDescent="0.45">
      <c r="B36" s="11">
        <f>SUM(B12:B35)</f>
        <v>0.99999999999999956</v>
      </c>
      <c r="C36" s="11">
        <f>SUM(C12:C35)</f>
        <v>1.0000000000000004</v>
      </c>
      <c r="D36" s="11">
        <f>SUM(D12:D35)</f>
        <v>0.99999999999999978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D36"/>
  <sheetViews>
    <sheetView topLeftCell="A4" workbookViewId="0">
      <selection activeCell="H24" sqref="H24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151</v>
      </c>
      <c r="C5" s="102"/>
      <c r="D5" s="103"/>
    </row>
    <row r="6" spans="1:4" x14ac:dyDescent="0.45">
      <c r="A6" s="61" t="s">
        <v>0</v>
      </c>
      <c r="B6" s="87" t="s">
        <v>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9</v>
      </c>
      <c r="C9" s="91"/>
      <c r="D9" s="92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7.9365079365079361E-3</v>
      </c>
      <c r="C17" s="3">
        <v>7.9365079365079361E-3</v>
      </c>
      <c r="D17" s="6">
        <v>7.9365079365079361E-3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2.3809523809523808E-2</v>
      </c>
      <c r="C19" s="3">
        <v>3.1746031746031744E-2</v>
      </c>
      <c r="D19" s="6">
        <v>1.5873015873015872E-2</v>
      </c>
    </row>
    <row r="20" spans="1:4" x14ac:dyDescent="0.45">
      <c r="A20" s="61" t="s">
        <v>79</v>
      </c>
      <c r="B20" s="23">
        <v>8.7301587301587297E-2</v>
      </c>
      <c r="C20" s="3">
        <v>0.11904761904761904</v>
      </c>
      <c r="D20" s="6">
        <v>5.5555555555555552E-2</v>
      </c>
    </row>
    <row r="21" spans="1:4" x14ac:dyDescent="0.45">
      <c r="A21" s="61" t="s">
        <v>80</v>
      </c>
      <c r="B21" s="23">
        <v>5.1587301587301584E-2</v>
      </c>
      <c r="C21" s="3">
        <v>3.968253968253968E-2</v>
      </c>
      <c r="D21" s="6">
        <v>6.3492063492063489E-2</v>
      </c>
    </row>
    <row r="22" spans="1:4" x14ac:dyDescent="0.45">
      <c r="A22" s="61" t="s">
        <v>81</v>
      </c>
      <c r="B22" s="23">
        <v>7.9365079365079361E-2</v>
      </c>
      <c r="C22" s="3">
        <v>9.5238095238095233E-2</v>
      </c>
      <c r="D22" s="6">
        <v>6.3492063492063489E-2</v>
      </c>
    </row>
    <row r="23" spans="1:4" x14ac:dyDescent="0.45">
      <c r="A23" s="61" t="s">
        <v>82</v>
      </c>
      <c r="B23" s="23">
        <v>0.11507936507936507</v>
      </c>
      <c r="C23" s="3">
        <v>0.10317460317460317</v>
      </c>
      <c r="D23" s="6">
        <v>0.12698412698412698</v>
      </c>
    </row>
    <row r="24" spans="1:4" x14ac:dyDescent="0.45">
      <c r="A24" s="61" t="s">
        <v>83</v>
      </c>
      <c r="B24" s="23">
        <v>8.3333333333333329E-2</v>
      </c>
      <c r="C24" s="3">
        <v>8.7301587301587297E-2</v>
      </c>
      <c r="D24" s="6">
        <v>7.9365079365079361E-2</v>
      </c>
    </row>
    <row r="25" spans="1:4" x14ac:dyDescent="0.45">
      <c r="A25" s="61" t="s">
        <v>84</v>
      </c>
      <c r="B25" s="23">
        <v>0.1111111111111111</v>
      </c>
      <c r="C25" s="3">
        <v>0.1111111111111111</v>
      </c>
      <c r="D25" s="6">
        <v>0.1111111111111111</v>
      </c>
    </row>
    <row r="26" spans="1:4" x14ac:dyDescent="0.45">
      <c r="A26" s="61" t="s">
        <v>85</v>
      </c>
      <c r="B26" s="23">
        <v>0.11904761904761904</v>
      </c>
      <c r="C26" s="3">
        <v>0.12698412698412698</v>
      </c>
      <c r="D26" s="6">
        <v>0.1111111111111111</v>
      </c>
    </row>
    <row r="27" spans="1:4" x14ac:dyDescent="0.45">
      <c r="A27" s="61" t="s">
        <v>86</v>
      </c>
      <c r="B27" s="23">
        <v>5.9523809523809521E-2</v>
      </c>
      <c r="C27" s="3">
        <v>5.5555555555555552E-2</v>
      </c>
      <c r="D27" s="6">
        <v>6.3492063492063489E-2</v>
      </c>
    </row>
    <row r="28" spans="1:4" x14ac:dyDescent="0.45">
      <c r="A28" s="61" t="s">
        <v>87</v>
      </c>
      <c r="B28" s="23">
        <v>8.7301587301587297E-2</v>
      </c>
      <c r="C28" s="3">
        <v>0.10317460317460317</v>
      </c>
      <c r="D28" s="6">
        <v>7.1428571428571425E-2</v>
      </c>
    </row>
    <row r="29" spans="1:4" x14ac:dyDescent="0.45">
      <c r="A29" s="61" t="s">
        <v>88</v>
      </c>
      <c r="B29" s="23">
        <v>0.10317460317460317</v>
      </c>
      <c r="C29" s="3">
        <v>5.5555555555555552E-2</v>
      </c>
      <c r="D29" s="6">
        <v>0.15079365079365079</v>
      </c>
    </row>
    <row r="30" spans="1:4" x14ac:dyDescent="0.45">
      <c r="A30" s="61" t="s">
        <v>89</v>
      </c>
      <c r="B30" s="23">
        <v>4.7619047619047616E-2</v>
      </c>
      <c r="C30" s="3">
        <v>3.968253968253968E-2</v>
      </c>
      <c r="D30" s="6">
        <v>5.5555555555555552E-2</v>
      </c>
    </row>
    <row r="31" spans="1:4" x14ac:dyDescent="0.45">
      <c r="A31" s="61" t="s">
        <v>90</v>
      </c>
      <c r="B31" s="23">
        <v>7.9365079365079361E-3</v>
      </c>
      <c r="C31" s="3">
        <v>7.9365079365079361E-3</v>
      </c>
      <c r="D31" s="6">
        <v>7.9365079365079361E-3</v>
      </c>
    </row>
    <row r="32" spans="1:4" x14ac:dyDescent="0.45">
      <c r="A32" s="61" t="s">
        <v>91</v>
      </c>
      <c r="B32" s="23">
        <v>1.5873015873015872E-2</v>
      </c>
      <c r="C32" s="3">
        <v>1.5873015873015872E-2</v>
      </c>
      <c r="D32" s="6">
        <v>1.5873015873015872E-2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0.99999999999999978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36"/>
  <sheetViews>
    <sheetView workbookViewId="0">
      <selection activeCell="A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154</v>
      </c>
      <c r="C5" s="102"/>
      <c r="D5" s="103"/>
    </row>
    <row r="6" spans="1:4" x14ac:dyDescent="0.45">
      <c r="A6" s="61" t="s">
        <v>0</v>
      </c>
      <c r="B6" s="87" t="s">
        <v>4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3</v>
      </c>
      <c r="C9" s="91"/>
      <c r="D9" s="92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1.5074525745257453E-2</v>
      </c>
      <c r="C12" s="3">
        <v>1.0114632501685773E-2</v>
      </c>
      <c r="D12" s="6">
        <v>2.0081688223281144E-2</v>
      </c>
    </row>
    <row r="13" spans="1:4" x14ac:dyDescent="0.45">
      <c r="A13" s="61" t="s">
        <v>72</v>
      </c>
      <c r="B13" s="23">
        <v>1.4397018970189702E-2</v>
      </c>
      <c r="C13" s="3">
        <v>9.1031692515171955E-3</v>
      </c>
      <c r="D13" s="6">
        <v>1.9741320626276378E-2</v>
      </c>
    </row>
    <row r="14" spans="1:4" x14ac:dyDescent="0.45">
      <c r="A14" s="61" t="s">
        <v>73</v>
      </c>
      <c r="B14" s="23">
        <v>9.9932249322493231E-3</v>
      </c>
      <c r="C14" s="3">
        <v>7.7545515846257585E-3</v>
      </c>
      <c r="D14" s="6">
        <v>1.2253233492171545E-2</v>
      </c>
    </row>
    <row r="15" spans="1:4" x14ac:dyDescent="0.45">
      <c r="A15" s="61" t="s">
        <v>74</v>
      </c>
      <c r="B15" s="23">
        <v>3.5569105691056909E-3</v>
      </c>
      <c r="C15" s="3">
        <v>4.3830074173971676E-3</v>
      </c>
      <c r="D15" s="6">
        <v>2.722940776038121E-3</v>
      </c>
    </row>
    <row r="16" spans="1:4" x14ac:dyDescent="0.45">
      <c r="A16" s="61" t="s">
        <v>75</v>
      </c>
      <c r="B16" s="23">
        <v>2.2865853658536585E-2</v>
      </c>
      <c r="C16" s="3">
        <v>1.3486176668914362E-2</v>
      </c>
      <c r="D16" s="6">
        <v>3.2334921715452686E-2</v>
      </c>
    </row>
    <row r="17" spans="1:4" x14ac:dyDescent="0.45">
      <c r="A17" s="61" t="s">
        <v>76</v>
      </c>
      <c r="B17" s="23">
        <v>4.1158536585365856E-2</v>
      </c>
      <c r="C17" s="3">
        <v>3.1018206338503034E-2</v>
      </c>
      <c r="D17" s="6">
        <v>5.1395507147719538E-2</v>
      </c>
    </row>
    <row r="18" spans="1:4" x14ac:dyDescent="0.45">
      <c r="A18" s="61" t="s">
        <v>77</v>
      </c>
      <c r="B18" s="23">
        <v>6.1822493224932253E-2</v>
      </c>
      <c r="C18" s="3">
        <v>0.10249494268374916</v>
      </c>
      <c r="D18" s="6">
        <v>2.0762423417290673E-2</v>
      </c>
    </row>
    <row r="19" spans="1:4" x14ac:dyDescent="0.45">
      <c r="A19" s="61" t="s">
        <v>78</v>
      </c>
      <c r="B19" s="23">
        <v>4.8102981029810296E-2</v>
      </c>
      <c r="C19" s="3">
        <v>7.316250842886042E-2</v>
      </c>
      <c r="D19" s="6">
        <v>2.2804628999319263E-2</v>
      </c>
    </row>
    <row r="20" spans="1:4" x14ac:dyDescent="0.45">
      <c r="A20" s="61" t="s">
        <v>79</v>
      </c>
      <c r="B20" s="23">
        <v>3.9464769647696477E-2</v>
      </c>
      <c r="C20" s="3">
        <v>5.124747134187458E-2</v>
      </c>
      <c r="D20" s="6">
        <v>2.7569775357385976E-2</v>
      </c>
    </row>
    <row r="21" spans="1:4" x14ac:dyDescent="0.45">
      <c r="A21" s="61" t="s">
        <v>80</v>
      </c>
      <c r="B21" s="23">
        <v>7.1985094850948506E-2</v>
      </c>
      <c r="C21" s="3">
        <v>0.11766689143627782</v>
      </c>
      <c r="D21" s="6">
        <v>2.5867937372362152E-2</v>
      </c>
    </row>
    <row r="22" spans="1:4" x14ac:dyDescent="0.45">
      <c r="A22" s="61" t="s">
        <v>81</v>
      </c>
      <c r="B22" s="23">
        <v>6.1822493224932253E-2</v>
      </c>
      <c r="C22" s="3">
        <v>9.4740391099123397E-2</v>
      </c>
      <c r="D22" s="6">
        <v>2.8590878148400271E-2</v>
      </c>
    </row>
    <row r="23" spans="1:4" x14ac:dyDescent="0.45">
      <c r="A23" s="61" t="s">
        <v>82</v>
      </c>
      <c r="B23" s="23">
        <v>3.7432249322493227E-2</v>
      </c>
      <c r="C23" s="3">
        <v>3.7761294672960216E-2</v>
      </c>
      <c r="D23" s="6">
        <v>3.7100068073519399E-2</v>
      </c>
    </row>
    <row r="24" spans="1:4" x14ac:dyDescent="0.45">
      <c r="A24" s="61" t="s">
        <v>83</v>
      </c>
      <c r="B24" s="23">
        <v>5.9620596205962058E-2</v>
      </c>
      <c r="C24" s="3">
        <v>5.0573162508428859E-2</v>
      </c>
      <c r="D24" s="6">
        <v>6.8754254594962566E-2</v>
      </c>
    </row>
    <row r="25" spans="1:4" x14ac:dyDescent="0.45">
      <c r="A25" s="61" t="s">
        <v>84</v>
      </c>
      <c r="B25" s="23">
        <v>5.9281842818428188E-2</v>
      </c>
      <c r="C25" s="3">
        <v>5.9339177343223193E-2</v>
      </c>
      <c r="D25" s="6">
        <v>5.9223961878829133E-2</v>
      </c>
    </row>
    <row r="26" spans="1:4" x14ac:dyDescent="0.45">
      <c r="A26" s="61" t="s">
        <v>85</v>
      </c>
      <c r="B26" s="23">
        <v>5.1659891598915986E-2</v>
      </c>
      <c r="C26" s="3">
        <v>6.0013486176668913E-2</v>
      </c>
      <c r="D26" s="6">
        <v>4.3226684819605177E-2</v>
      </c>
    </row>
    <row r="27" spans="1:4" x14ac:dyDescent="0.45">
      <c r="A27" s="61" t="s">
        <v>86</v>
      </c>
      <c r="B27" s="23">
        <v>7.6388888888888895E-2</v>
      </c>
      <c r="C27" s="3">
        <v>5.3270397842211735E-2</v>
      </c>
      <c r="D27" s="6">
        <v>9.9727705922396187E-2</v>
      </c>
    </row>
    <row r="28" spans="1:4" x14ac:dyDescent="0.45">
      <c r="A28" s="61" t="s">
        <v>87</v>
      </c>
      <c r="B28" s="23">
        <v>4.6917344173441733E-2</v>
      </c>
      <c r="C28" s="3">
        <v>3.1018206338503034E-2</v>
      </c>
      <c r="D28" s="6">
        <v>6.2968005445881547E-2</v>
      </c>
    </row>
    <row r="29" spans="1:4" x14ac:dyDescent="0.45">
      <c r="A29" s="61" t="s">
        <v>88</v>
      </c>
      <c r="B29" s="23">
        <v>4.9796747967479675E-2</v>
      </c>
      <c r="C29" s="3">
        <v>2.191503708698584E-2</v>
      </c>
      <c r="D29" s="6">
        <v>7.7944179714091219E-2</v>
      </c>
    </row>
    <row r="30" spans="1:4" x14ac:dyDescent="0.45">
      <c r="A30" s="61" t="s">
        <v>89</v>
      </c>
      <c r="B30" s="23">
        <v>5.7079945799457993E-2</v>
      </c>
      <c r="C30" s="3">
        <v>2.6635198921105867E-2</v>
      </c>
      <c r="D30" s="6">
        <v>8.7814840027229404E-2</v>
      </c>
    </row>
    <row r="31" spans="1:4" x14ac:dyDescent="0.45">
      <c r="A31" s="61" t="s">
        <v>90</v>
      </c>
      <c r="B31" s="23">
        <v>7.6050135501355018E-2</v>
      </c>
      <c r="C31" s="3">
        <v>5.8327714093054622E-2</v>
      </c>
      <c r="D31" s="6">
        <v>9.3941456773315182E-2</v>
      </c>
    </row>
    <row r="32" spans="1:4" x14ac:dyDescent="0.45">
      <c r="A32" s="61" t="s">
        <v>91</v>
      </c>
      <c r="B32" s="23">
        <v>5.5724932249322491E-2</v>
      </c>
      <c r="C32" s="3">
        <v>5.3944706675657449E-2</v>
      </c>
      <c r="D32" s="6">
        <v>5.7522123893805309E-2</v>
      </c>
    </row>
    <row r="33" spans="1:4" x14ac:dyDescent="0.45">
      <c r="A33" s="61" t="s">
        <v>92</v>
      </c>
      <c r="B33" s="23">
        <v>1.0670731707317074E-2</v>
      </c>
      <c r="C33" s="3">
        <v>6.4059339177343225E-3</v>
      </c>
      <c r="D33" s="6">
        <v>1.4976174268209666E-2</v>
      </c>
    </row>
    <row r="34" spans="1:4" x14ac:dyDescent="0.45">
      <c r="A34" s="61" t="s">
        <v>93</v>
      </c>
      <c r="B34" s="23">
        <v>1.30420054200542E-2</v>
      </c>
      <c r="C34" s="3">
        <v>1.2474713418745786E-2</v>
      </c>
      <c r="D34" s="6">
        <v>1.3614703880190605E-2</v>
      </c>
    </row>
    <row r="35" spans="1:4" ht="14.65" thickBot="1" x14ac:dyDescent="0.5">
      <c r="A35" s="63" t="s">
        <v>94</v>
      </c>
      <c r="B35" s="24">
        <v>1.6090785907859079E-2</v>
      </c>
      <c r="C35" s="8">
        <v>1.3149022252191504E-2</v>
      </c>
      <c r="D35" s="9">
        <v>1.9060585432266849E-2</v>
      </c>
    </row>
    <row r="36" spans="1:4" x14ac:dyDescent="0.45">
      <c r="B36" s="11">
        <f>SUM(B12:B35)</f>
        <v>0.99999999999999989</v>
      </c>
      <c r="C36" s="11">
        <f>SUM(C12:C35)</f>
        <v>1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C259-03D6-4CD8-A6D3-BD020C56D4A9}">
  <sheetPr>
    <tabColor rgb="FFFFFF00"/>
  </sheetPr>
  <dimension ref="A1:D36"/>
  <sheetViews>
    <sheetView workbookViewId="0">
      <selection activeCell="A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155</v>
      </c>
      <c r="C5" s="102"/>
      <c r="D5" s="103"/>
    </row>
    <row r="6" spans="1:4" x14ac:dyDescent="0.45">
      <c r="A6" s="61" t="s">
        <v>0</v>
      </c>
      <c r="B6" s="87" t="s">
        <v>159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2</v>
      </c>
      <c r="C9" s="91"/>
      <c r="D9" s="92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9.622367465504723E-3</v>
      </c>
      <c r="C12" s="3">
        <v>8.9285714285714333E-3</v>
      </c>
      <c r="D12" s="6">
        <v>1.0311143270622289E-2</v>
      </c>
    </row>
    <row r="13" spans="1:4" x14ac:dyDescent="0.45">
      <c r="A13" s="61" t="s">
        <v>72</v>
      </c>
      <c r="B13" s="23">
        <v>1.1619462599854758E-2</v>
      </c>
      <c r="C13" s="3">
        <v>5.3753644314868815E-3</v>
      </c>
      <c r="D13" s="6">
        <v>1.781837916063676E-2</v>
      </c>
    </row>
    <row r="14" spans="1:4" x14ac:dyDescent="0.45">
      <c r="A14" s="61" t="s">
        <v>73</v>
      </c>
      <c r="B14" s="23">
        <v>9.5769789397240415E-3</v>
      </c>
      <c r="C14" s="3">
        <v>6.833090379008748E-3</v>
      </c>
      <c r="D14" s="6">
        <v>1.230101302460203E-2</v>
      </c>
    </row>
    <row r="15" spans="1:4" x14ac:dyDescent="0.45">
      <c r="A15" s="61" t="s">
        <v>74</v>
      </c>
      <c r="B15" s="23">
        <v>1.5568264342774151E-2</v>
      </c>
      <c r="C15" s="3">
        <v>2.068148688046648E-2</v>
      </c>
      <c r="D15" s="6">
        <v>1.0492040520984083E-2</v>
      </c>
    </row>
    <row r="16" spans="1:4" x14ac:dyDescent="0.45">
      <c r="A16" s="61" t="s">
        <v>75</v>
      </c>
      <c r="B16" s="23">
        <v>3.059186637618011E-2</v>
      </c>
      <c r="C16" s="3">
        <v>3.3983236151603508E-2</v>
      </c>
      <c r="D16" s="6">
        <v>2.7225036179450077E-2</v>
      </c>
    </row>
    <row r="17" spans="1:4" x14ac:dyDescent="0.45">
      <c r="A17" s="61" t="s">
        <v>76</v>
      </c>
      <c r="B17" s="23">
        <v>4.1757443718228045E-2</v>
      </c>
      <c r="C17" s="3">
        <v>4.42784256559767E-2</v>
      </c>
      <c r="D17" s="6">
        <v>3.9254703328509409E-2</v>
      </c>
    </row>
    <row r="18" spans="1:4" x14ac:dyDescent="0.45">
      <c r="A18" s="61" t="s">
        <v>77</v>
      </c>
      <c r="B18" s="23">
        <v>0.21822803195352222</v>
      </c>
      <c r="C18" s="3">
        <v>0.22558309037900881</v>
      </c>
      <c r="D18" s="6">
        <v>0.21092619392185244</v>
      </c>
    </row>
    <row r="19" spans="1:4" x14ac:dyDescent="0.45">
      <c r="A19" s="61" t="s">
        <v>78</v>
      </c>
      <c r="B19" s="23">
        <v>5.6690268700072634E-2</v>
      </c>
      <c r="C19" s="3">
        <v>8.7372448979591857E-2</v>
      </c>
      <c r="D19" s="6">
        <v>2.6230101302460208E-2</v>
      </c>
    </row>
    <row r="20" spans="1:4" x14ac:dyDescent="0.45">
      <c r="A20" s="61" t="s">
        <v>79</v>
      </c>
      <c r="B20" s="23">
        <v>2.051561365286856E-2</v>
      </c>
      <c r="C20" s="3">
        <v>2.1683673469387765E-2</v>
      </c>
      <c r="D20" s="6">
        <v>1.9356005788712015E-2</v>
      </c>
    </row>
    <row r="21" spans="1:4" x14ac:dyDescent="0.45">
      <c r="A21" s="61" t="s">
        <v>80</v>
      </c>
      <c r="B21" s="23">
        <v>2.1105664488017435E-2</v>
      </c>
      <c r="C21" s="3">
        <v>2.1774781341107875E-2</v>
      </c>
      <c r="D21" s="6">
        <v>2.044138929088278E-2</v>
      </c>
    </row>
    <row r="22" spans="1:4" x14ac:dyDescent="0.45">
      <c r="A22" s="61" t="s">
        <v>81</v>
      </c>
      <c r="B22" s="23">
        <v>2.0924110384894702E-2</v>
      </c>
      <c r="C22" s="3">
        <v>2.0772594752186596E-2</v>
      </c>
      <c r="D22" s="6">
        <v>2.107452966714906E-2</v>
      </c>
    </row>
    <row r="23" spans="1:4" x14ac:dyDescent="0.45">
      <c r="A23" s="61" t="s">
        <v>82</v>
      </c>
      <c r="B23" s="23">
        <v>3.204429920116196E-2</v>
      </c>
      <c r="C23" s="3">
        <v>3.1523323615160359E-2</v>
      </c>
      <c r="D23" s="6">
        <v>3.2561505065123016E-2</v>
      </c>
    </row>
    <row r="24" spans="1:4" x14ac:dyDescent="0.45">
      <c r="A24" s="61" t="s">
        <v>83</v>
      </c>
      <c r="B24" s="23">
        <v>2.8004720406681199E-2</v>
      </c>
      <c r="C24" s="3">
        <v>2.8425655976676394E-2</v>
      </c>
      <c r="D24" s="6">
        <v>2.7586830680173667E-2</v>
      </c>
    </row>
    <row r="25" spans="1:4" x14ac:dyDescent="0.45">
      <c r="A25" s="61" t="s">
        <v>84</v>
      </c>
      <c r="B25" s="23">
        <v>2.5009077705156146E-2</v>
      </c>
      <c r="C25" s="3">
        <v>2.2594752186588924E-2</v>
      </c>
      <c r="D25" s="6">
        <v>2.7405933429811877E-2</v>
      </c>
    </row>
    <row r="26" spans="1:4" x14ac:dyDescent="0.45">
      <c r="A26" s="61" t="s">
        <v>85</v>
      </c>
      <c r="B26" s="23">
        <v>3.7445533769063191E-2</v>
      </c>
      <c r="C26" s="3">
        <v>3.343658892128281E-2</v>
      </c>
      <c r="D26" s="6">
        <v>4.1425470332850947E-2</v>
      </c>
    </row>
    <row r="27" spans="1:4" x14ac:dyDescent="0.45">
      <c r="A27" s="61" t="s">
        <v>86</v>
      </c>
      <c r="B27" s="23">
        <v>2.0606390704429926E-2</v>
      </c>
      <c r="C27" s="3">
        <v>1.5032798833819246E-2</v>
      </c>
      <c r="D27" s="6">
        <v>2.6139652677279312E-2</v>
      </c>
    </row>
    <row r="28" spans="1:4" x14ac:dyDescent="0.45">
      <c r="A28" s="61" t="s">
        <v>87</v>
      </c>
      <c r="B28" s="23">
        <v>3.5176107480029063E-2</v>
      </c>
      <c r="C28" s="3">
        <v>3.2343294460641409E-2</v>
      </c>
      <c r="D28" s="6">
        <v>3.798842257597685E-2</v>
      </c>
    </row>
    <row r="29" spans="1:4" x14ac:dyDescent="0.45">
      <c r="A29" s="61" t="s">
        <v>88</v>
      </c>
      <c r="B29" s="23">
        <v>6.0049019607843153E-2</v>
      </c>
      <c r="C29" s="3">
        <v>7.1519679300291558E-2</v>
      </c>
      <c r="D29" s="6">
        <v>4.8661360347322734E-2</v>
      </c>
    </row>
    <row r="30" spans="1:4" x14ac:dyDescent="0.45">
      <c r="A30" s="61" t="s">
        <v>89</v>
      </c>
      <c r="B30" s="23">
        <v>0.2106481481481482</v>
      </c>
      <c r="C30" s="3">
        <v>0.18631559766763856</v>
      </c>
      <c r="D30" s="6">
        <v>0.23480463096960932</v>
      </c>
    </row>
    <row r="31" spans="1:4" x14ac:dyDescent="0.45">
      <c r="A31" s="61" t="s">
        <v>90</v>
      </c>
      <c r="B31" s="23">
        <v>2.8413217138707342E-2</v>
      </c>
      <c r="C31" s="3">
        <v>1.9588192419825078E-2</v>
      </c>
      <c r="D31" s="6">
        <v>3.7174384949348778E-2</v>
      </c>
    </row>
    <row r="32" spans="1:4" x14ac:dyDescent="0.45">
      <c r="A32" s="61" t="s">
        <v>91</v>
      </c>
      <c r="B32" s="23">
        <v>1.5976761074800297E-2</v>
      </c>
      <c r="C32" s="3">
        <v>1.6763848396501465E-2</v>
      </c>
      <c r="D32" s="6">
        <v>1.5195369030390741E-2</v>
      </c>
    </row>
    <row r="33" spans="1:4" x14ac:dyDescent="0.45">
      <c r="A33" s="61" t="s">
        <v>92</v>
      </c>
      <c r="B33" s="23">
        <v>1.3752723311546842E-2</v>
      </c>
      <c r="C33" s="3">
        <v>1.4121720116618079E-2</v>
      </c>
      <c r="D33" s="6">
        <v>1.3386396526772797E-2</v>
      </c>
    </row>
    <row r="34" spans="1:4" x14ac:dyDescent="0.45">
      <c r="A34" s="61" t="s">
        <v>93</v>
      </c>
      <c r="B34" s="23">
        <v>1.6975308641975315E-2</v>
      </c>
      <c r="C34" s="3">
        <v>1.5306122448979597E-2</v>
      </c>
      <c r="D34" s="6">
        <v>1.8632416787264839E-2</v>
      </c>
    </row>
    <row r="35" spans="1:4" ht="14.65" thickBot="1" x14ac:dyDescent="0.5">
      <c r="A35" s="63" t="s">
        <v>94</v>
      </c>
      <c r="B35" s="24">
        <v>1.9698620188816272E-2</v>
      </c>
      <c r="C35" s="8">
        <v>1.5761661807580176E-2</v>
      </c>
      <c r="D35" s="9">
        <v>2.3607091172214188E-2</v>
      </c>
    </row>
    <row r="36" spans="1:4" x14ac:dyDescent="0.45">
      <c r="B36" s="11">
        <f>SUM(B12:B35)</f>
        <v>1.0000000000000002</v>
      </c>
      <c r="C36" s="11">
        <f>SUM(C12:C35)</f>
        <v>1</v>
      </c>
      <c r="D36" s="11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36"/>
  <sheetViews>
    <sheetView workbookViewId="0">
      <selection activeCell="I16" sqref="I16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ht="15" customHeight="1" x14ac:dyDescent="0.45">
      <c r="A1" s="110" t="s">
        <v>70</v>
      </c>
      <c r="B1" s="111"/>
      <c r="C1" s="111"/>
      <c r="D1" s="112"/>
    </row>
    <row r="2" spans="1:4" ht="15" customHeight="1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8">
        <v>156</v>
      </c>
      <c r="C5" s="102"/>
      <c r="D5" s="103"/>
    </row>
    <row r="6" spans="1:4" x14ac:dyDescent="0.45">
      <c r="A6" s="61" t="s">
        <v>0</v>
      </c>
      <c r="B6" s="99" t="s">
        <v>5</v>
      </c>
      <c r="C6" s="88"/>
      <c r="D6" s="89"/>
    </row>
    <row r="7" spans="1:4" x14ac:dyDescent="0.45">
      <c r="A7" s="61" t="s">
        <v>54</v>
      </c>
      <c r="B7" s="99" t="s">
        <v>55</v>
      </c>
      <c r="C7" s="88"/>
      <c r="D7" s="89"/>
    </row>
    <row r="8" spans="1:4" x14ac:dyDescent="0.45">
      <c r="A8" s="61" t="s">
        <v>59</v>
      </c>
      <c r="B8" s="99" t="s">
        <v>60</v>
      </c>
      <c r="C8" s="88"/>
      <c r="D8" s="89"/>
    </row>
    <row r="9" spans="1:4" ht="14.65" thickBot="1" x14ac:dyDescent="0.5">
      <c r="A9" s="63" t="s">
        <v>64</v>
      </c>
      <c r="B9" s="100">
        <v>2</v>
      </c>
      <c r="C9" s="91"/>
      <c r="D9" s="92"/>
    </row>
    <row r="10" spans="1:4" x14ac:dyDescent="0.45">
      <c r="A10" s="67"/>
      <c r="B10" s="129" t="s">
        <v>134</v>
      </c>
      <c r="C10" s="117"/>
      <c r="D10" s="118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8.9404857219108624E-3</v>
      </c>
      <c r="C12" s="3">
        <v>6.6507049747273209E-3</v>
      </c>
      <c r="D12" s="6">
        <v>1.1244979919678716E-2</v>
      </c>
    </row>
    <row r="13" spans="1:4" x14ac:dyDescent="0.45">
      <c r="A13" s="61" t="s">
        <v>72</v>
      </c>
      <c r="B13" s="25">
        <v>6.4051240992794231E-3</v>
      </c>
      <c r="C13" s="3">
        <v>6.6507049747273209E-3</v>
      </c>
      <c r="D13" s="6">
        <v>6.1579651941097721E-3</v>
      </c>
    </row>
    <row r="14" spans="1:4" x14ac:dyDescent="0.45">
      <c r="A14" s="61" t="s">
        <v>73</v>
      </c>
      <c r="B14" s="25">
        <v>1.5345609821190286E-2</v>
      </c>
      <c r="C14" s="3">
        <v>2.261239691407289E-2</v>
      </c>
      <c r="D14" s="6">
        <v>8.0321285140562242E-3</v>
      </c>
    </row>
    <row r="15" spans="1:4" x14ac:dyDescent="0.45">
      <c r="A15" s="61" t="s">
        <v>74</v>
      </c>
      <c r="B15" s="25">
        <v>4.4969308780357618E-2</v>
      </c>
      <c r="C15" s="3">
        <v>8.353285448257515E-2</v>
      </c>
      <c r="D15" s="6">
        <v>6.1579651941097721E-3</v>
      </c>
    </row>
    <row r="16" spans="1:4" x14ac:dyDescent="0.45">
      <c r="A16" s="61" t="s">
        <v>75</v>
      </c>
      <c r="B16" s="25">
        <v>2.8422738190552441E-2</v>
      </c>
      <c r="C16" s="3">
        <v>4.7619047619047616E-2</v>
      </c>
      <c r="D16" s="6">
        <v>9.1030789825970546E-3</v>
      </c>
    </row>
    <row r="17" spans="1:4" x14ac:dyDescent="0.45">
      <c r="A17" s="61" t="s">
        <v>76</v>
      </c>
      <c r="B17" s="25">
        <v>1.2143047771550574E-2</v>
      </c>
      <c r="C17" s="3">
        <v>1.7823889332269222E-2</v>
      </c>
      <c r="D17" s="6">
        <v>6.4257028112449802E-3</v>
      </c>
    </row>
    <row r="18" spans="1:4" x14ac:dyDescent="0.45">
      <c r="A18" s="61" t="s">
        <v>77</v>
      </c>
      <c r="B18" s="25">
        <v>2.9356818788364023E-2</v>
      </c>
      <c r="C18" s="3">
        <v>4.8151104017025805E-2</v>
      </c>
      <c r="D18" s="6">
        <v>1.0441767068273093E-2</v>
      </c>
    </row>
    <row r="19" spans="1:4" x14ac:dyDescent="0.45">
      <c r="A19" s="61" t="s">
        <v>78</v>
      </c>
      <c r="B19" s="25">
        <v>6.8855084067253797E-2</v>
      </c>
      <c r="C19" s="3">
        <v>6.8901303538175043E-2</v>
      </c>
      <c r="D19" s="6">
        <v>6.880856760374833E-2</v>
      </c>
    </row>
    <row r="20" spans="1:4" x14ac:dyDescent="0.45">
      <c r="A20" s="61" t="s">
        <v>79</v>
      </c>
      <c r="B20" s="25">
        <v>0.11342407259140645</v>
      </c>
      <c r="C20" s="3">
        <v>0.10561319499866986</v>
      </c>
      <c r="D20" s="6">
        <v>0.121285140562249</v>
      </c>
    </row>
    <row r="21" spans="1:4" x14ac:dyDescent="0.45">
      <c r="A21" s="61" t="s">
        <v>80</v>
      </c>
      <c r="B21" s="25">
        <v>8.0731251668001061E-2</v>
      </c>
      <c r="C21" s="3">
        <v>2.2878425113061984E-2</v>
      </c>
      <c r="D21" s="6">
        <v>0.13895582329317269</v>
      </c>
    </row>
    <row r="22" spans="1:4" x14ac:dyDescent="0.45">
      <c r="A22" s="61" t="s">
        <v>81</v>
      </c>
      <c r="B22" s="25">
        <v>2.268481451828129E-2</v>
      </c>
      <c r="C22" s="3">
        <v>1.6759776536312849E-2</v>
      </c>
      <c r="D22" s="6">
        <v>2.8647925033467202E-2</v>
      </c>
    </row>
    <row r="23" spans="1:4" x14ac:dyDescent="0.45">
      <c r="A23" s="61" t="s">
        <v>82</v>
      </c>
      <c r="B23" s="25">
        <v>2.0816653322658127E-2</v>
      </c>
      <c r="C23" s="3">
        <v>1.7291832934291033E-2</v>
      </c>
      <c r="D23" s="6">
        <v>2.4364123159303881E-2</v>
      </c>
    </row>
    <row r="24" spans="1:4" x14ac:dyDescent="0.45">
      <c r="A24" s="61" t="s">
        <v>83</v>
      </c>
      <c r="B24" s="25">
        <v>2.0816653322658127E-2</v>
      </c>
      <c r="C24" s="3">
        <v>1.86219739292365E-2</v>
      </c>
      <c r="D24" s="6">
        <v>2.3025435073627844E-2</v>
      </c>
    </row>
    <row r="25" spans="1:4" x14ac:dyDescent="0.45">
      <c r="A25" s="61" t="s">
        <v>84</v>
      </c>
      <c r="B25" s="25">
        <v>2.6287696824125968E-2</v>
      </c>
      <c r="C25" s="3">
        <v>2.899707368981112E-2</v>
      </c>
      <c r="D25" s="6">
        <v>2.356091030789826E-2</v>
      </c>
    </row>
    <row r="26" spans="1:4" x14ac:dyDescent="0.45">
      <c r="A26" s="61" t="s">
        <v>85</v>
      </c>
      <c r="B26" s="25">
        <v>3.0824659727782224E-2</v>
      </c>
      <c r="C26" s="3">
        <v>3.4583665868582067E-2</v>
      </c>
      <c r="D26" s="6">
        <v>2.7041499330655958E-2</v>
      </c>
    </row>
    <row r="27" spans="1:4" x14ac:dyDescent="0.45">
      <c r="A27" s="61" t="s">
        <v>86</v>
      </c>
      <c r="B27" s="25">
        <v>4.2567387243127836E-2</v>
      </c>
      <c r="C27" s="3">
        <v>4.4426709231178502E-2</v>
      </c>
      <c r="D27" s="6">
        <v>4.069611780455154E-2</v>
      </c>
    </row>
    <row r="28" spans="1:4" x14ac:dyDescent="0.45">
      <c r="A28" s="61" t="s">
        <v>87</v>
      </c>
      <c r="B28" s="25">
        <v>6.912196423805711E-2</v>
      </c>
      <c r="C28" s="3">
        <v>9.0715615855280665E-2</v>
      </c>
      <c r="D28" s="6">
        <v>4.7389558232931728E-2</v>
      </c>
    </row>
    <row r="29" spans="1:4" x14ac:dyDescent="0.45">
      <c r="A29" s="61" t="s">
        <v>88</v>
      </c>
      <c r="B29" s="25">
        <v>0.10168134507606084</v>
      </c>
      <c r="C29" s="3">
        <v>0.13514232508645915</v>
      </c>
      <c r="D29" s="6">
        <v>6.8005354752342706E-2</v>
      </c>
    </row>
    <row r="30" spans="1:4" x14ac:dyDescent="0.45">
      <c r="A30" s="61" t="s">
        <v>89</v>
      </c>
      <c r="B30" s="25">
        <v>9.6343741659994667E-2</v>
      </c>
      <c r="C30" s="3">
        <v>9.2311785049215223E-2</v>
      </c>
      <c r="D30" s="6">
        <v>0.10040160642570281</v>
      </c>
    </row>
    <row r="31" spans="1:4" x14ac:dyDescent="0.45">
      <c r="A31" s="61" t="s">
        <v>90</v>
      </c>
      <c r="B31" s="25">
        <v>5.1374432879637041E-2</v>
      </c>
      <c r="C31" s="3">
        <v>3.9904229848363927E-2</v>
      </c>
      <c r="D31" s="6">
        <v>6.2918340026773767E-2</v>
      </c>
    </row>
    <row r="32" spans="1:4" x14ac:dyDescent="0.45">
      <c r="A32" s="61" t="s">
        <v>91</v>
      </c>
      <c r="B32" s="25">
        <v>2.9757139044568989E-2</v>
      </c>
      <c r="C32" s="3">
        <v>1.409949454642192E-2</v>
      </c>
      <c r="D32" s="6">
        <v>4.5515394912985271E-2</v>
      </c>
    </row>
    <row r="33" spans="1:4" x14ac:dyDescent="0.45">
      <c r="A33" s="61" t="s">
        <v>92</v>
      </c>
      <c r="B33" s="25">
        <v>4.0432345876701359E-2</v>
      </c>
      <c r="C33" s="3">
        <v>1.4365522745411013E-2</v>
      </c>
      <c r="D33" s="6">
        <v>6.6666666666666666E-2</v>
      </c>
    </row>
    <row r="34" spans="1:4" x14ac:dyDescent="0.45">
      <c r="A34" s="61" t="s">
        <v>93</v>
      </c>
      <c r="B34" s="25">
        <v>2.6554576994929278E-2</v>
      </c>
      <c r="C34" s="3">
        <v>1.11731843575419E-2</v>
      </c>
      <c r="D34" s="6">
        <v>4.2034805890227574E-2</v>
      </c>
    </row>
    <row r="35" spans="1:4" ht="14.65" thickBot="1" x14ac:dyDescent="0.5">
      <c r="A35" s="63" t="s">
        <v>94</v>
      </c>
      <c r="B35" s="26">
        <v>1.2143047771550574E-2</v>
      </c>
      <c r="C35" s="8">
        <v>1.11731843575419E-2</v>
      </c>
      <c r="D35" s="9">
        <v>1.3119143239625167E-2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E2C4-E6A1-42F2-8EBA-DA9B02D6A2D5}">
  <sheetPr>
    <tabColor rgb="FFFFFF00"/>
  </sheetPr>
  <dimension ref="A1:D36"/>
  <sheetViews>
    <sheetView workbookViewId="0">
      <selection activeCell="A10" sqref="A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ht="15" customHeight="1" x14ac:dyDescent="0.45">
      <c r="A1" s="110" t="s">
        <v>70</v>
      </c>
      <c r="B1" s="111"/>
      <c r="C1" s="111"/>
      <c r="D1" s="112"/>
    </row>
    <row r="2" spans="1:4" ht="15" customHeight="1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160</v>
      </c>
      <c r="C5" s="102"/>
      <c r="D5" s="103"/>
    </row>
    <row r="6" spans="1:4" x14ac:dyDescent="0.45">
      <c r="A6" s="61" t="s">
        <v>0</v>
      </c>
      <c r="B6" s="87" t="s">
        <v>160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14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3.5708488881675054E-3</v>
      </c>
      <c r="C12" s="3">
        <v>3.2749304077288356E-3</v>
      </c>
      <c r="D12" s="6">
        <v>3.8616251005631538E-3</v>
      </c>
    </row>
    <row r="13" spans="1:4" x14ac:dyDescent="0.45">
      <c r="A13" s="61" t="s">
        <v>72</v>
      </c>
      <c r="B13" s="23">
        <v>3.2462262619704593E-3</v>
      </c>
      <c r="C13" s="3">
        <v>2.947437366955952E-3</v>
      </c>
      <c r="D13" s="6">
        <v>3.5398230088495575E-3</v>
      </c>
    </row>
    <row r="14" spans="1:4" x14ac:dyDescent="0.45">
      <c r="A14" s="61" t="s">
        <v>73</v>
      </c>
      <c r="B14" s="23">
        <v>3.8954715143645511E-3</v>
      </c>
      <c r="C14" s="3">
        <v>4.2574095300474861E-3</v>
      </c>
      <c r="D14" s="6">
        <v>3.5398230088495575E-3</v>
      </c>
    </row>
    <row r="15" spans="1:4" x14ac:dyDescent="0.45">
      <c r="A15" s="61" t="s">
        <v>74</v>
      </c>
      <c r="B15" s="23">
        <v>3.8954715143645511E-3</v>
      </c>
      <c r="C15" s="3">
        <v>3.2749304077288356E-3</v>
      </c>
      <c r="D15" s="6">
        <v>4.5052292839903463E-3</v>
      </c>
    </row>
    <row r="16" spans="1:4" x14ac:dyDescent="0.45">
      <c r="A16" s="61" t="s">
        <v>75</v>
      </c>
      <c r="B16" s="23">
        <v>4.3824054536601197E-3</v>
      </c>
      <c r="C16" s="3">
        <v>6.5498608154576712E-3</v>
      </c>
      <c r="D16" s="6">
        <v>2.2526146419951732E-3</v>
      </c>
    </row>
    <row r="17" spans="1:4" x14ac:dyDescent="0.45">
      <c r="A17" s="61" t="s">
        <v>76</v>
      </c>
      <c r="B17" s="23">
        <v>4.80441486771628E-2</v>
      </c>
      <c r="C17" s="3">
        <v>9.0060586212542981E-2</v>
      </c>
      <c r="D17" s="6">
        <v>6.7578439259855187E-3</v>
      </c>
    </row>
    <row r="18" spans="1:4" x14ac:dyDescent="0.45">
      <c r="A18" s="61" t="s">
        <v>77</v>
      </c>
      <c r="B18" s="23">
        <v>9.9009900990099015E-2</v>
      </c>
      <c r="C18" s="3">
        <v>0.15670542000982479</v>
      </c>
      <c r="D18" s="6">
        <v>4.2316975060337894E-2</v>
      </c>
    </row>
    <row r="19" spans="1:4" x14ac:dyDescent="0.45">
      <c r="A19" s="61" t="s">
        <v>78</v>
      </c>
      <c r="B19" s="23">
        <v>8.2210680084401883E-2</v>
      </c>
      <c r="C19" s="3">
        <v>0.12526608809562798</v>
      </c>
      <c r="D19" s="6">
        <v>3.9903459372485919E-2</v>
      </c>
    </row>
    <row r="20" spans="1:4" x14ac:dyDescent="0.45">
      <c r="A20" s="61" t="s">
        <v>79</v>
      </c>
      <c r="B20" s="23">
        <v>5.7458204836877129E-2</v>
      </c>
      <c r="C20" s="3">
        <v>8.0890781070902237E-2</v>
      </c>
      <c r="D20" s="6">
        <v>3.4432823813354788E-2</v>
      </c>
    </row>
    <row r="21" spans="1:4" x14ac:dyDescent="0.45">
      <c r="A21" s="61" t="s">
        <v>80</v>
      </c>
      <c r="B21" s="23">
        <v>5.2101931504625873E-2</v>
      </c>
      <c r="C21" s="3">
        <v>6.3533649909939413E-2</v>
      </c>
      <c r="D21" s="6">
        <v>4.0868865647626706E-2</v>
      </c>
    </row>
    <row r="22" spans="1:4" x14ac:dyDescent="0.45">
      <c r="A22" s="61" t="s">
        <v>81</v>
      </c>
      <c r="B22" s="23">
        <v>6.0055185846453495E-2</v>
      </c>
      <c r="C22" s="3">
        <v>6.8773538562305545E-2</v>
      </c>
      <c r="D22" s="6">
        <v>5.1488334674175379E-2</v>
      </c>
    </row>
    <row r="23" spans="1:4" x14ac:dyDescent="0.45">
      <c r="A23" s="61" t="s">
        <v>82</v>
      </c>
      <c r="B23" s="23">
        <v>6.5086836552507715E-2</v>
      </c>
      <c r="C23" s="3">
        <v>5.9931226461437698E-2</v>
      </c>
      <c r="D23" s="6">
        <v>7.0152855993563953E-2</v>
      </c>
    </row>
    <row r="24" spans="1:4" x14ac:dyDescent="0.45">
      <c r="A24" s="61" t="s">
        <v>83</v>
      </c>
      <c r="B24" s="23">
        <v>8.0831033923064441E-2</v>
      </c>
      <c r="C24" s="3">
        <v>7.9253315867037821E-2</v>
      </c>
      <c r="D24" s="6">
        <v>8.2381335478680609E-2</v>
      </c>
    </row>
    <row r="25" spans="1:4" x14ac:dyDescent="0.45">
      <c r="A25" s="61" t="s">
        <v>84</v>
      </c>
      <c r="B25" s="23">
        <v>7.6286317156305794E-2</v>
      </c>
      <c r="C25" s="3">
        <v>7.1393482888488624E-2</v>
      </c>
      <c r="D25" s="6">
        <v>8.1094127111826231E-2</v>
      </c>
    </row>
    <row r="26" spans="1:4" x14ac:dyDescent="0.45">
      <c r="A26" s="61" t="s">
        <v>85</v>
      </c>
      <c r="B26" s="23">
        <v>7.4987826651517611E-2</v>
      </c>
      <c r="C26" s="3">
        <v>4.9451449156705421E-2</v>
      </c>
      <c r="D26" s="6">
        <v>0.1000804505229284</v>
      </c>
    </row>
    <row r="27" spans="1:4" x14ac:dyDescent="0.45">
      <c r="A27" s="61" t="s">
        <v>86</v>
      </c>
      <c r="B27" s="23">
        <v>6.7196883622788514E-2</v>
      </c>
      <c r="C27" s="3">
        <v>3.2421811036515473E-2</v>
      </c>
      <c r="D27" s="6">
        <v>0.10136765888978279</v>
      </c>
    </row>
    <row r="28" spans="1:4" x14ac:dyDescent="0.45">
      <c r="A28" s="61" t="s">
        <v>87</v>
      </c>
      <c r="B28" s="23">
        <v>4.9991884434345074E-2</v>
      </c>
      <c r="C28" s="3">
        <v>1.4082200753233994E-2</v>
      </c>
      <c r="D28" s="6">
        <v>8.527755430410297E-2</v>
      </c>
    </row>
    <row r="29" spans="1:4" x14ac:dyDescent="0.45">
      <c r="A29" s="61" t="s">
        <v>88</v>
      </c>
      <c r="B29" s="23">
        <v>5.461775685765298E-2</v>
      </c>
      <c r="C29" s="3">
        <v>1.932208940560013E-2</v>
      </c>
      <c r="D29" s="6">
        <v>8.9300080450522928E-2</v>
      </c>
    </row>
    <row r="30" spans="1:4" x14ac:dyDescent="0.45">
      <c r="A30" s="61" t="s">
        <v>89</v>
      </c>
      <c r="B30" s="23">
        <v>3.8630092517448464E-2</v>
      </c>
      <c r="C30" s="3">
        <v>1.2935975110528901E-2</v>
      </c>
      <c r="D30" s="6">
        <v>6.387771520514883E-2</v>
      </c>
    </row>
    <row r="31" spans="1:4" x14ac:dyDescent="0.45">
      <c r="A31" s="61" t="s">
        <v>90</v>
      </c>
      <c r="B31" s="23">
        <v>1.7529621814640479E-2</v>
      </c>
      <c r="C31" s="3">
        <v>8.8423121008678572E-3</v>
      </c>
      <c r="D31" s="6">
        <v>2.6065969428801287E-2</v>
      </c>
    </row>
    <row r="32" spans="1:4" x14ac:dyDescent="0.45">
      <c r="A32" s="61" t="s">
        <v>91</v>
      </c>
      <c r="B32" s="23">
        <v>1.3796461613374451E-2</v>
      </c>
      <c r="C32" s="3">
        <v>1.3754707712461111E-2</v>
      </c>
      <c r="D32" s="6">
        <v>1.3837489943684634E-2</v>
      </c>
    </row>
    <row r="33" spans="1:4" x14ac:dyDescent="0.45">
      <c r="A33" s="61" t="s">
        <v>92</v>
      </c>
      <c r="B33" s="23">
        <v>1.7691933127739003E-2</v>
      </c>
      <c r="C33" s="3">
        <v>1.7357131160962831E-2</v>
      </c>
      <c r="D33" s="6">
        <v>1.8020917135961385E-2</v>
      </c>
    </row>
    <row r="34" spans="1:4" x14ac:dyDescent="0.45">
      <c r="A34" s="61" t="s">
        <v>93</v>
      </c>
      <c r="B34" s="23">
        <v>1.8503489693231619E-2</v>
      </c>
      <c r="C34" s="3">
        <v>1.1462256427050925E-2</v>
      </c>
      <c r="D34" s="6">
        <v>2.5422365245374095E-2</v>
      </c>
    </row>
    <row r="35" spans="1:4" ht="14.65" thickBot="1" x14ac:dyDescent="0.5">
      <c r="A35" s="63" t="s">
        <v>94</v>
      </c>
      <c r="B35" s="24">
        <v>6.979386463236488E-3</v>
      </c>
      <c r="C35" s="8">
        <v>4.2574095300474861E-3</v>
      </c>
      <c r="D35" s="9">
        <v>9.6540627514078835E-3</v>
      </c>
    </row>
    <row r="36" spans="1:4" x14ac:dyDescent="0.45">
      <c r="B36" s="11">
        <f>SUM(B12:B35)</f>
        <v>0.99999999999999989</v>
      </c>
      <c r="C36" s="11">
        <f>SUM(C12:C35)</f>
        <v>0.99999999999999978</v>
      </c>
      <c r="D36" s="11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D36"/>
  <sheetViews>
    <sheetView workbookViewId="0">
      <selection activeCell="B37" sqref="B37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32">
        <v>170</v>
      </c>
      <c r="C5" s="127"/>
      <c r="D5" s="128"/>
    </row>
    <row r="6" spans="1:4" x14ac:dyDescent="0.45">
      <c r="A6" s="61" t="s">
        <v>0</v>
      </c>
      <c r="B6" s="131" t="s">
        <v>6</v>
      </c>
      <c r="C6" s="122"/>
      <c r="D6" s="123"/>
    </row>
    <row r="7" spans="1:4" x14ac:dyDescent="0.45">
      <c r="A7" s="61" t="s">
        <v>54</v>
      </c>
      <c r="B7" s="131" t="s">
        <v>55</v>
      </c>
      <c r="C7" s="122"/>
      <c r="D7" s="123"/>
    </row>
    <row r="8" spans="1:4" x14ac:dyDescent="0.45">
      <c r="A8" s="61" t="s">
        <v>59</v>
      </c>
      <c r="B8" s="131" t="s">
        <v>60</v>
      </c>
      <c r="C8" s="122"/>
      <c r="D8" s="123"/>
    </row>
    <row r="9" spans="1:4" ht="14.65" thickBot="1" x14ac:dyDescent="0.5">
      <c r="A9" s="63" t="s">
        <v>64</v>
      </c>
      <c r="B9" s="100">
        <v>13</v>
      </c>
      <c r="C9" s="91"/>
      <c r="D9" s="92"/>
    </row>
    <row r="10" spans="1:4" x14ac:dyDescent="0.45">
      <c r="A10" s="67"/>
      <c r="B10" s="129" t="s">
        <v>134</v>
      </c>
      <c r="C10" s="117"/>
      <c r="D10" s="118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0</v>
      </c>
      <c r="C12" s="3">
        <v>0</v>
      </c>
      <c r="D12" s="6">
        <v>0</v>
      </c>
    </row>
    <row r="13" spans="1:4" x14ac:dyDescent="0.45">
      <c r="A13" s="61" t="s">
        <v>72</v>
      </c>
      <c r="B13" s="25">
        <v>0</v>
      </c>
      <c r="C13" s="3">
        <v>0</v>
      </c>
      <c r="D13" s="6">
        <v>0</v>
      </c>
    </row>
    <row r="14" spans="1:4" x14ac:dyDescent="0.45">
      <c r="A14" s="61" t="s">
        <v>73</v>
      </c>
      <c r="B14" s="25">
        <v>0</v>
      </c>
      <c r="C14" s="3">
        <v>0</v>
      </c>
      <c r="D14" s="6">
        <v>0</v>
      </c>
    </row>
    <row r="15" spans="1:4" x14ac:dyDescent="0.45">
      <c r="A15" s="61" t="s">
        <v>74</v>
      </c>
      <c r="B15" s="25">
        <v>0</v>
      </c>
      <c r="C15" s="3">
        <v>0</v>
      </c>
      <c r="D15" s="6">
        <v>0</v>
      </c>
    </row>
    <row r="16" spans="1:4" x14ac:dyDescent="0.45">
      <c r="A16" s="61" t="s">
        <v>75</v>
      </c>
      <c r="B16" s="25">
        <v>0</v>
      </c>
      <c r="C16" s="3">
        <v>0</v>
      </c>
      <c r="D16" s="6">
        <v>0</v>
      </c>
    </row>
    <row r="17" spans="1:4" x14ac:dyDescent="0.45">
      <c r="A17" s="61" t="s">
        <v>76</v>
      </c>
      <c r="B17" s="25">
        <v>0</v>
      </c>
      <c r="C17" s="3">
        <v>0</v>
      </c>
      <c r="D17" s="6">
        <v>0</v>
      </c>
    </row>
    <row r="18" spans="1:4" x14ac:dyDescent="0.45">
      <c r="A18" s="61" t="s">
        <v>77</v>
      </c>
      <c r="B18" s="25">
        <v>0</v>
      </c>
      <c r="C18" s="3">
        <v>0</v>
      </c>
      <c r="D18" s="6">
        <v>0</v>
      </c>
    </row>
    <row r="19" spans="1:4" x14ac:dyDescent="0.45">
      <c r="A19" s="61" t="s">
        <v>78</v>
      </c>
      <c r="B19" s="25">
        <v>0.14278376990241398</v>
      </c>
      <c r="C19" s="3">
        <v>0.25717213114754101</v>
      </c>
      <c r="D19" s="6">
        <v>2.7806385169927908E-2</v>
      </c>
    </row>
    <row r="20" spans="1:4" x14ac:dyDescent="0.45">
      <c r="A20" s="61" t="s">
        <v>79</v>
      </c>
      <c r="B20" s="25">
        <v>8.7313816127375446E-2</v>
      </c>
      <c r="C20" s="3">
        <v>0.11987704918032786</v>
      </c>
      <c r="D20" s="6">
        <v>5.458290422245108E-2</v>
      </c>
    </row>
    <row r="21" spans="1:4" x14ac:dyDescent="0.45">
      <c r="A21" s="61" t="s">
        <v>80</v>
      </c>
      <c r="B21" s="25">
        <v>6.3174114021571651E-2</v>
      </c>
      <c r="C21" s="3">
        <v>7.0696721311475405E-2</v>
      </c>
      <c r="D21" s="6">
        <v>5.5612770339855816E-2</v>
      </c>
    </row>
    <row r="22" spans="1:4" x14ac:dyDescent="0.45">
      <c r="A22" s="61" t="s">
        <v>81</v>
      </c>
      <c r="B22" s="25">
        <v>6.0606060606060608E-2</v>
      </c>
      <c r="C22" s="3">
        <v>6.4549180327868855E-2</v>
      </c>
      <c r="D22" s="6">
        <v>5.6642636457260559E-2</v>
      </c>
    </row>
    <row r="23" spans="1:4" x14ac:dyDescent="0.45">
      <c r="A23" s="61" t="s">
        <v>82</v>
      </c>
      <c r="B23" s="25">
        <v>7.1391884951206991E-2</v>
      </c>
      <c r="C23" s="3">
        <v>4.7131147540983603E-2</v>
      </c>
      <c r="D23" s="6">
        <v>9.577754891864057E-2</v>
      </c>
    </row>
    <row r="24" spans="1:4" x14ac:dyDescent="0.45">
      <c r="A24" s="61" t="s">
        <v>83</v>
      </c>
      <c r="B24" s="25">
        <v>0.11915767847971238</v>
      </c>
      <c r="C24" s="3">
        <v>0.11270491803278689</v>
      </c>
      <c r="D24" s="6">
        <v>0.12564366632337795</v>
      </c>
    </row>
    <row r="25" spans="1:4" x14ac:dyDescent="0.45">
      <c r="A25" s="61" t="s">
        <v>84</v>
      </c>
      <c r="B25" s="25">
        <v>9.7586029789419618E-2</v>
      </c>
      <c r="C25" s="3">
        <v>0.12295081967213115</v>
      </c>
      <c r="D25" s="6">
        <v>7.209062821833162E-2</v>
      </c>
    </row>
    <row r="26" spans="1:4" x14ac:dyDescent="0.45">
      <c r="A26" s="61" t="s">
        <v>85</v>
      </c>
      <c r="B26" s="25">
        <v>7.7555213148433486E-2</v>
      </c>
      <c r="C26" s="3">
        <v>7.3770491803278687E-2</v>
      </c>
      <c r="D26" s="6">
        <v>8.1359423274974252E-2</v>
      </c>
    </row>
    <row r="27" spans="1:4" x14ac:dyDescent="0.45">
      <c r="A27" s="61" t="s">
        <v>86</v>
      </c>
      <c r="B27" s="25">
        <v>6.3687724704673862E-2</v>
      </c>
      <c r="C27" s="3">
        <v>6.25E-2</v>
      </c>
      <c r="D27" s="6">
        <v>6.4881565396498461E-2</v>
      </c>
    </row>
    <row r="28" spans="1:4" x14ac:dyDescent="0.45">
      <c r="A28" s="61" t="s">
        <v>87</v>
      </c>
      <c r="B28" s="25">
        <v>9.3990755007704166E-2</v>
      </c>
      <c r="C28" s="3">
        <v>5.0204918032786885E-2</v>
      </c>
      <c r="D28" s="6">
        <v>0.13800205973223481</v>
      </c>
    </row>
    <row r="29" spans="1:4" x14ac:dyDescent="0.45">
      <c r="A29" s="61" t="s">
        <v>88</v>
      </c>
      <c r="B29" s="25">
        <v>0.12275295326142784</v>
      </c>
      <c r="C29" s="3">
        <v>1.8442622950819672E-2</v>
      </c>
      <c r="D29" s="6">
        <v>0.22760041194644695</v>
      </c>
    </row>
    <row r="30" spans="1:4" x14ac:dyDescent="0.45">
      <c r="A30" s="61" t="s">
        <v>89</v>
      </c>
      <c r="B30" s="25">
        <v>0</v>
      </c>
      <c r="C30" s="3">
        <v>0</v>
      </c>
      <c r="D30" s="6">
        <v>0</v>
      </c>
    </row>
    <row r="31" spans="1:4" x14ac:dyDescent="0.45">
      <c r="A31" s="61" t="s">
        <v>90</v>
      </c>
      <c r="B31" s="25">
        <v>0</v>
      </c>
      <c r="C31" s="3">
        <v>0</v>
      </c>
      <c r="D31" s="6">
        <v>0</v>
      </c>
    </row>
    <row r="32" spans="1:4" x14ac:dyDescent="0.45">
      <c r="A32" s="61" t="s">
        <v>91</v>
      </c>
      <c r="B32" s="25">
        <v>0</v>
      </c>
      <c r="C32" s="3">
        <v>0</v>
      </c>
      <c r="D32" s="6">
        <v>0</v>
      </c>
    </row>
    <row r="33" spans="1:4" x14ac:dyDescent="0.45">
      <c r="A33" s="61" t="s">
        <v>92</v>
      </c>
      <c r="B33" s="25">
        <v>0</v>
      </c>
      <c r="C33" s="3">
        <v>0</v>
      </c>
      <c r="D33" s="6">
        <v>0</v>
      </c>
    </row>
    <row r="34" spans="1:4" x14ac:dyDescent="0.45">
      <c r="A34" s="61" t="s">
        <v>93</v>
      </c>
      <c r="B34" s="25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6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D36"/>
  <sheetViews>
    <sheetView workbookViewId="0">
      <selection activeCell="G29" sqref="G29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8">
        <v>180</v>
      </c>
      <c r="C5" s="102"/>
      <c r="D5" s="103"/>
    </row>
    <row r="6" spans="1:4" x14ac:dyDescent="0.45">
      <c r="A6" s="61" t="s">
        <v>0</v>
      </c>
      <c r="B6" s="99" t="s">
        <v>7</v>
      </c>
      <c r="C6" s="88"/>
      <c r="D6" s="89"/>
    </row>
    <row r="7" spans="1:4" x14ac:dyDescent="0.45">
      <c r="A7" s="61" t="s">
        <v>54</v>
      </c>
      <c r="B7" s="99" t="s">
        <v>55</v>
      </c>
      <c r="C7" s="88"/>
      <c r="D7" s="89"/>
    </row>
    <row r="8" spans="1:4" x14ac:dyDescent="0.45">
      <c r="A8" s="61" t="s">
        <v>59</v>
      </c>
      <c r="B8" s="99" t="s">
        <v>60</v>
      </c>
      <c r="C8" s="88"/>
      <c r="D8" s="89"/>
    </row>
    <row r="9" spans="1:4" ht="14.65" thickBot="1" x14ac:dyDescent="0.5">
      <c r="A9" s="63" t="s">
        <v>64</v>
      </c>
      <c r="B9" s="100">
        <v>20</v>
      </c>
      <c r="C9" s="91"/>
      <c r="D9" s="92"/>
    </row>
    <row r="10" spans="1:4" x14ac:dyDescent="0.45">
      <c r="A10" s="67"/>
      <c r="B10" s="129" t="s">
        <v>134</v>
      </c>
      <c r="C10" s="117"/>
      <c r="D10" s="118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0</v>
      </c>
      <c r="C12" s="3">
        <v>0</v>
      </c>
      <c r="D12" s="6">
        <v>0</v>
      </c>
    </row>
    <row r="13" spans="1:4" x14ac:dyDescent="0.45">
      <c r="A13" s="61" t="s">
        <v>72</v>
      </c>
      <c r="B13" s="25">
        <v>0</v>
      </c>
      <c r="C13" s="3">
        <v>0</v>
      </c>
      <c r="D13" s="6">
        <v>0</v>
      </c>
    </row>
    <row r="14" spans="1:4" x14ac:dyDescent="0.45">
      <c r="A14" s="61" t="s">
        <v>73</v>
      </c>
      <c r="B14" s="25">
        <v>0</v>
      </c>
      <c r="C14" s="3">
        <v>0</v>
      </c>
      <c r="D14" s="6">
        <v>0</v>
      </c>
    </row>
    <row r="15" spans="1:4" x14ac:dyDescent="0.45">
      <c r="A15" s="61" t="s">
        <v>74</v>
      </c>
      <c r="B15" s="25">
        <v>0</v>
      </c>
      <c r="C15" s="3">
        <v>0</v>
      </c>
      <c r="D15" s="6">
        <v>0</v>
      </c>
    </row>
    <row r="16" spans="1:4" x14ac:dyDescent="0.45">
      <c r="A16" s="61" t="s">
        <v>75</v>
      </c>
      <c r="B16" s="25">
        <v>0</v>
      </c>
      <c r="C16" s="3">
        <v>0</v>
      </c>
      <c r="D16" s="6">
        <v>0</v>
      </c>
    </row>
    <row r="17" spans="1:4" x14ac:dyDescent="0.45">
      <c r="A17" s="61" t="s">
        <v>76</v>
      </c>
      <c r="B17" s="25">
        <v>1.6784452296819789E-2</v>
      </c>
      <c r="C17" s="3">
        <v>2.292768959435626E-2</v>
      </c>
      <c r="D17" s="6">
        <v>1.0619469026548672E-2</v>
      </c>
    </row>
    <row r="18" spans="1:4" x14ac:dyDescent="0.45">
      <c r="A18" s="61" t="s">
        <v>77</v>
      </c>
      <c r="B18" s="25">
        <v>6.6254416961130741E-2</v>
      </c>
      <c r="C18" s="3">
        <v>0.10758377425044091</v>
      </c>
      <c r="D18" s="6">
        <v>2.4778761061946902E-2</v>
      </c>
    </row>
    <row r="19" spans="1:4" x14ac:dyDescent="0.45">
      <c r="A19" s="61" t="s">
        <v>78</v>
      </c>
      <c r="B19" s="25">
        <v>0.11484098939929328</v>
      </c>
      <c r="C19" s="3">
        <v>0.17989417989417988</v>
      </c>
      <c r="D19" s="6">
        <v>4.9557522123893805E-2</v>
      </c>
    </row>
    <row r="20" spans="1:4" x14ac:dyDescent="0.45">
      <c r="A20" s="61" t="s">
        <v>79</v>
      </c>
      <c r="B20" s="25">
        <v>9.6289752650176683E-2</v>
      </c>
      <c r="C20" s="3">
        <v>0.1146384479717813</v>
      </c>
      <c r="D20" s="6">
        <v>7.7876106194690264E-2</v>
      </c>
    </row>
    <row r="21" spans="1:4" x14ac:dyDescent="0.45">
      <c r="A21" s="61" t="s">
        <v>80</v>
      </c>
      <c r="B21" s="25">
        <v>5.3003533568904596E-2</v>
      </c>
      <c r="C21" s="3">
        <v>5.6437389770723101E-2</v>
      </c>
      <c r="D21" s="6">
        <v>4.9557522123893805E-2</v>
      </c>
    </row>
    <row r="22" spans="1:4" x14ac:dyDescent="0.45">
      <c r="A22" s="61" t="s">
        <v>81</v>
      </c>
      <c r="B22" s="25">
        <v>6.0954063604240286E-2</v>
      </c>
      <c r="C22" s="3">
        <v>6.3492063492063489E-2</v>
      </c>
      <c r="D22" s="6">
        <v>5.8407079646017698E-2</v>
      </c>
    </row>
    <row r="23" spans="1:4" x14ac:dyDescent="0.45">
      <c r="A23" s="61" t="s">
        <v>82</v>
      </c>
      <c r="B23" s="25">
        <v>6.5371024734982339E-2</v>
      </c>
      <c r="C23" s="3">
        <v>5.2910052910052907E-2</v>
      </c>
      <c r="D23" s="6">
        <v>7.7876106194690264E-2</v>
      </c>
    </row>
    <row r="24" spans="1:4" x14ac:dyDescent="0.45">
      <c r="A24" s="61" t="s">
        <v>83</v>
      </c>
      <c r="B24" s="25">
        <v>8.3038869257950523E-2</v>
      </c>
      <c r="C24" s="3">
        <v>8.6419753086419748E-2</v>
      </c>
      <c r="D24" s="6">
        <v>7.9646017699115043E-2</v>
      </c>
    </row>
    <row r="25" spans="1:4" x14ac:dyDescent="0.45">
      <c r="A25" s="61" t="s">
        <v>84</v>
      </c>
      <c r="B25" s="25">
        <v>8.3038869257950523E-2</v>
      </c>
      <c r="C25" s="3">
        <v>7.7601410934744264E-2</v>
      </c>
      <c r="D25" s="6">
        <v>8.8495575221238937E-2</v>
      </c>
    </row>
    <row r="26" spans="1:4" x14ac:dyDescent="0.45">
      <c r="A26" s="61" t="s">
        <v>85</v>
      </c>
      <c r="B26" s="25">
        <v>5.8303886925795051E-2</v>
      </c>
      <c r="C26" s="3">
        <v>6.3492063492063489E-2</v>
      </c>
      <c r="D26" s="6">
        <v>5.3097345132743362E-2</v>
      </c>
    </row>
    <row r="27" spans="1:4" x14ac:dyDescent="0.45">
      <c r="A27" s="61" t="s">
        <v>86</v>
      </c>
      <c r="B27" s="25">
        <v>6.5371024734982339E-2</v>
      </c>
      <c r="C27" s="3">
        <v>5.9964726631393295E-2</v>
      </c>
      <c r="D27" s="6">
        <v>7.0796460176991149E-2</v>
      </c>
    </row>
    <row r="28" spans="1:4" x14ac:dyDescent="0.45">
      <c r="A28" s="61" t="s">
        <v>87</v>
      </c>
      <c r="B28" s="25">
        <v>0.12014134275618374</v>
      </c>
      <c r="C28" s="3">
        <v>7.9365079365079361E-2</v>
      </c>
      <c r="D28" s="6">
        <v>0.16106194690265488</v>
      </c>
    </row>
    <row r="29" spans="1:4" x14ac:dyDescent="0.45">
      <c r="A29" s="61" t="s">
        <v>88</v>
      </c>
      <c r="B29" s="25">
        <v>0.11484098939929328</v>
      </c>
      <c r="C29" s="3">
        <v>3.5273368606701938E-2</v>
      </c>
      <c r="D29" s="6">
        <v>0.19469026548672566</v>
      </c>
    </row>
    <row r="30" spans="1:4" x14ac:dyDescent="0.45">
      <c r="A30" s="61" t="s">
        <v>89</v>
      </c>
      <c r="B30" s="25">
        <v>1.7667844522968198E-3</v>
      </c>
      <c r="C30" s="3">
        <v>0</v>
      </c>
      <c r="D30" s="6">
        <v>3.5398230088495575E-3</v>
      </c>
    </row>
    <row r="31" spans="1:4" x14ac:dyDescent="0.45">
      <c r="A31" s="61" t="s">
        <v>90</v>
      </c>
      <c r="B31" s="25">
        <v>0</v>
      </c>
      <c r="C31" s="3">
        <v>0</v>
      </c>
      <c r="D31" s="6">
        <v>0</v>
      </c>
    </row>
    <row r="32" spans="1:4" x14ac:dyDescent="0.45">
      <c r="A32" s="61" t="s">
        <v>91</v>
      </c>
      <c r="B32" s="25">
        <v>0</v>
      </c>
      <c r="C32" s="3">
        <v>0</v>
      </c>
      <c r="D32" s="6">
        <v>0</v>
      </c>
    </row>
    <row r="33" spans="1:4" x14ac:dyDescent="0.45">
      <c r="A33" s="61" t="s">
        <v>92</v>
      </c>
      <c r="B33" s="25">
        <v>0</v>
      </c>
      <c r="C33" s="3">
        <v>0</v>
      </c>
      <c r="D33" s="6">
        <v>0</v>
      </c>
    </row>
    <row r="34" spans="1:4" x14ac:dyDescent="0.45">
      <c r="A34" s="61" t="s">
        <v>93</v>
      </c>
      <c r="B34" s="25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6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36"/>
  <sheetViews>
    <sheetView topLeftCell="A5" workbookViewId="0">
      <selection activeCell="B36" sqref="B36:J36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110" t="s">
        <v>70</v>
      </c>
      <c r="B1" s="111"/>
      <c r="C1" s="111"/>
      <c r="D1" s="111"/>
      <c r="E1" s="111"/>
      <c r="F1" s="111"/>
      <c r="G1" s="111"/>
      <c r="H1" s="111"/>
      <c r="I1" s="111"/>
      <c r="J1" s="112"/>
    </row>
    <row r="2" spans="1:10" ht="15" customHeight="1" x14ac:dyDescent="0.45">
      <c r="A2" s="133"/>
      <c r="B2" s="134"/>
      <c r="C2" s="134"/>
      <c r="D2" s="134"/>
      <c r="E2" s="134"/>
      <c r="F2" s="134"/>
      <c r="G2" s="134"/>
      <c r="H2" s="134"/>
      <c r="I2" s="134"/>
      <c r="J2" s="135"/>
    </row>
    <row r="3" spans="1:10" x14ac:dyDescent="0.45">
      <c r="A3" s="131" t="s">
        <v>157</v>
      </c>
      <c r="B3" s="122"/>
      <c r="C3" s="122"/>
      <c r="D3" s="122"/>
      <c r="E3" s="122"/>
      <c r="F3" s="122"/>
      <c r="G3" s="122"/>
      <c r="H3" s="122"/>
      <c r="I3" s="122"/>
      <c r="J3" s="123"/>
    </row>
    <row r="4" spans="1:10" ht="14.65" thickBot="1" x14ac:dyDescent="0.5">
      <c r="A4" s="119"/>
      <c r="B4" s="120"/>
      <c r="C4" s="120"/>
      <c r="D4" s="120"/>
      <c r="E4" s="120"/>
      <c r="F4" s="120"/>
      <c r="G4" s="120"/>
      <c r="H4" s="120"/>
      <c r="I4" s="120"/>
      <c r="J4" s="121"/>
    </row>
    <row r="5" spans="1:10" x14ac:dyDescent="0.45">
      <c r="A5" s="36" t="s">
        <v>68</v>
      </c>
      <c r="B5" s="108">
        <v>210</v>
      </c>
      <c r="C5" s="102"/>
      <c r="D5" s="103"/>
      <c r="E5" s="101">
        <v>210</v>
      </c>
      <c r="F5" s="102"/>
      <c r="G5" s="106"/>
      <c r="H5" s="108">
        <v>210</v>
      </c>
      <c r="I5" s="102"/>
      <c r="J5" s="103"/>
    </row>
    <row r="6" spans="1:10" x14ac:dyDescent="0.45">
      <c r="A6" s="37" t="s">
        <v>0</v>
      </c>
      <c r="B6" s="99" t="s">
        <v>8</v>
      </c>
      <c r="C6" s="88"/>
      <c r="D6" s="89"/>
      <c r="E6" s="87" t="s">
        <v>8</v>
      </c>
      <c r="F6" s="88"/>
      <c r="G6" s="104"/>
      <c r="H6" s="99" t="s">
        <v>8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20</v>
      </c>
      <c r="C9" s="91"/>
      <c r="D9" s="92"/>
      <c r="E9" s="90">
        <v>3</v>
      </c>
      <c r="F9" s="91"/>
      <c r="G9" s="105"/>
      <c r="H9" s="100">
        <v>2</v>
      </c>
      <c r="I9" s="91"/>
      <c r="J9" s="92"/>
    </row>
    <row r="10" spans="1:10" x14ac:dyDescent="0.45">
      <c r="A10" s="39"/>
      <c r="B10" s="137" t="s">
        <v>134</v>
      </c>
      <c r="C10" s="85"/>
      <c r="D10" s="86"/>
      <c r="E10" s="136" t="s">
        <v>134</v>
      </c>
      <c r="F10" s="85"/>
      <c r="G10" s="109"/>
      <c r="H10" s="137" t="s">
        <v>134</v>
      </c>
      <c r="I10" s="85"/>
      <c r="J10" s="86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4.8628846044010739E-3</v>
      </c>
      <c r="C12" s="3">
        <v>5.8810279512644626E-3</v>
      </c>
      <c r="D12" s="6">
        <v>3.8527188490612048E-3</v>
      </c>
      <c r="E12" s="23">
        <v>7.6923076923076927E-3</v>
      </c>
      <c r="F12" s="3">
        <v>5.7692307692307696E-3</v>
      </c>
      <c r="G12" s="20">
        <v>9.6153846153846159E-3</v>
      </c>
      <c r="H12" s="25">
        <v>5.9171597633136093E-3</v>
      </c>
      <c r="I12" s="3">
        <v>5.8479532163742687E-3</v>
      </c>
      <c r="J12" s="6">
        <v>5.9880239520958087E-3</v>
      </c>
    </row>
    <row r="13" spans="1:10" x14ac:dyDescent="0.45">
      <c r="A13" s="37" t="s">
        <v>72</v>
      </c>
      <c r="B13" s="25">
        <v>1.7746265125121365E-3</v>
      </c>
      <c r="C13" s="3">
        <v>1.7610320466878264E-3</v>
      </c>
      <c r="D13" s="6">
        <v>1.7881817442900107E-3</v>
      </c>
      <c r="E13" s="23">
        <v>3.8461538461538464E-3</v>
      </c>
      <c r="F13" s="3">
        <v>5.7692307692307696E-3</v>
      </c>
      <c r="G13" s="20">
        <v>1.9230769230769232E-3</v>
      </c>
      <c r="H13" s="25">
        <v>5.9171597633136093E-3</v>
      </c>
      <c r="I13" s="3">
        <v>1.1695906432748537E-2</v>
      </c>
      <c r="J13" s="6">
        <v>0</v>
      </c>
    </row>
    <row r="14" spans="1:10" x14ac:dyDescent="0.45">
      <c r="A14" s="37" t="s">
        <v>73</v>
      </c>
      <c r="B14" s="25">
        <v>1.8643777384322903E-3</v>
      </c>
      <c r="C14" s="3">
        <v>2.2279103102283201E-3</v>
      </c>
      <c r="D14" s="6">
        <v>1.5036982849711451E-3</v>
      </c>
      <c r="E14" s="23">
        <v>2.8846153846153848E-3</v>
      </c>
      <c r="F14" s="3">
        <v>3.8461538461538464E-3</v>
      </c>
      <c r="G14" s="20">
        <v>1.9230769230769232E-3</v>
      </c>
      <c r="H14" s="25">
        <v>0</v>
      </c>
      <c r="I14" s="3">
        <v>0</v>
      </c>
      <c r="J14" s="6">
        <v>0</v>
      </c>
    </row>
    <row r="15" spans="1:10" x14ac:dyDescent="0.45">
      <c r="A15" s="37" t="s">
        <v>74</v>
      </c>
      <c r="B15" s="25">
        <v>2.876118830623118E-3</v>
      </c>
      <c r="C15" s="3">
        <v>2.64564349339613E-3</v>
      </c>
      <c r="D15" s="6">
        <v>3.104933755994473E-3</v>
      </c>
      <c r="E15" s="23">
        <v>4.807692307692308E-3</v>
      </c>
      <c r="F15" s="3">
        <v>3.8461538461538464E-3</v>
      </c>
      <c r="G15" s="20">
        <v>5.7692307692307696E-3</v>
      </c>
      <c r="H15" s="25">
        <v>2.9585798816568047E-3</v>
      </c>
      <c r="I15" s="3">
        <v>0</v>
      </c>
      <c r="J15" s="6">
        <v>5.9880239520958087E-3</v>
      </c>
    </row>
    <row r="16" spans="1:10" x14ac:dyDescent="0.45">
      <c r="A16" s="37" t="s">
        <v>75</v>
      </c>
      <c r="B16" s="25">
        <v>8.6038788848002215E-3</v>
      </c>
      <c r="C16" s="3">
        <v>5.823692024162999E-3</v>
      </c>
      <c r="D16" s="6">
        <v>1.136308217507925E-2</v>
      </c>
      <c r="E16" s="23">
        <v>4.807692307692308E-3</v>
      </c>
      <c r="F16" s="3">
        <v>5.7692307692307696E-3</v>
      </c>
      <c r="G16" s="20">
        <v>3.8461538461538464E-3</v>
      </c>
      <c r="H16" s="25">
        <v>0</v>
      </c>
      <c r="I16" s="3">
        <v>0</v>
      </c>
      <c r="J16" s="6">
        <v>0</v>
      </c>
    </row>
    <row r="17" spans="1:10" x14ac:dyDescent="0.45">
      <c r="A17" s="37" t="s">
        <v>76</v>
      </c>
      <c r="B17" s="25">
        <v>1.644895195045732E-2</v>
      </c>
      <c r="C17" s="3">
        <v>8.4611446708303482E-3</v>
      </c>
      <c r="D17" s="6">
        <v>2.4376168414207918E-2</v>
      </c>
      <c r="E17" s="23">
        <v>9.6153846153846159E-3</v>
      </c>
      <c r="F17" s="3">
        <v>7.6923076923076927E-3</v>
      </c>
      <c r="G17" s="20">
        <v>1.1538461538461539E-2</v>
      </c>
      <c r="H17" s="25">
        <v>1.7751479289940829E-2</v>
      </c>
      <c r="I17" s="3">
        <v>1.7543859649122806E-2</v>
      </c>
      <c r="J17" s="6">
        <v>1.7964071856287425E-2</v>
      </c>
    </row>
    <row r="18" spans="1:10" x14ac:dyDescent="0.45">
      <c r="A18" s="37" t="s">
        <v>77</v>
      </c>
      <c r="B18" s="25">
        <v>3.9380390173056681E-2</v>
      </c>
      <c r="C18" s="3">
        <v>2.1623835363980753E-2</v>
      </c>
      <c r="D18" s="6">
        <v>5.7002357148662933E-2</v>
      </c>
      <c r="E18" s="23">
        <v>9.6153846153846159E-3</v>
      </c>
      <c r="F18" s="3">
        <v>3.8461538461538464E-3</v>
      </c>
      <c r="G18" s="20">
        <v>1.5384615384615385E-2</v>
      </c>
      <c r="H18" s="25">
        <v>1.4792899408284023E-2</v>
      </c>
      <c r="I18" s="3">
        <v>1.7543859649122806E-2</v>
      </c>
      <c r="J18" s="6">
        <v>1.1976047904191617E-2</v>
      </c>
    </row>
    <row r="19" spans="1:10" x14ac:dyDescent="0.45">
      <c r="A19" s="37" t="s">
        <v>78</v>
      </c>
      <c r="B19" s="25">
        <v>6.7888643206240148E-2</v>
      </c>
      <c r="C19" s="3">
        <v>4.123272243268148E-2</v>
      </c>
      <c r="D19" s="6">
        <v>9.4342843208973418E-2</v>
      </c>
      <c r="E19" s="23">
        <v>2.0192307692307693E-2</v>
      </c>
      <c r="F19" s="3">
        <v>7.6923076923076927E-3</v>
      </c>
      <c r="G19" s="20">
        <v>3.2692307692307694E-2</v>
      </c>
      <c r="H19" s="25">
        <v>1.7751479289940829E-2</v>
      </c>
      <c r="I19" s="3">
        <v>5.8479532163742687E-3</v>
      </c>
      <c r="J19" s="6">
        <v>2.9940119760479042E-2</v>
      </c>
    </row>
    <row r="20" spans="1:10" x14ac:dyDescent="0.45">
      <c r="A20" s="37" t="s">
        <v>79</v>
      </c>
      <c r="B20" s="25">
        <v>6.1985460301400917E-2</v>
      </c>
      <c r="C20" s="3">
        <v>4.4820313299887379E-2</v>
      </c>
      <c r="D20" s="6">
        <v>7.9021376899943097E-2</v>
      </c>
      <c r="E20" s="23">
        <v>3.8461538461538464E-2</v>
      </c>
      <c r="F20" s="3">
        <v>2.5000000000000001E-2</v>
      </c>
      <c r="G20" s="20">
        <v>5.1923076923076926E-2</v>
      </c>
      <c r="H20" s="25">
        <v>4.7337278106508875E-2</v>
      </c>
      <c r="I20" s="3">
        <v>5.8479532163742687E-3</v>
      </c>
      <c r="J20" s="6">
        <v>8.9820359281437126E-2</v>
      </c>
    </row>
    <row r="21" spans="1:10" x14ac:dyDescent="0.45">
      <c r="A21" s="37" t="s">
        <v>80</v>
      </c>
      <c r="B21" s="25">
        <v>5.0733920251956173E-2</v>
      </c>
      <c r="C21" s="3">
        <v>4.1789700010238566E-2</v>
      </c>
      <c r="D21" s="6">
        <v>5.9611476875558803E-2</v>
      </c>
      <c r="E21" s="23">
        <v>5.4807692307692307E-2</v>
      </c>
      <c r="F21" s="3">
        <v>0.05</v>
      </c>
      <c r="G21" s="20">
        <v>5.9615384615384619E-2</v>
      </c>
      <c r="H21" s="25">
        <v>4.7337278106508875E-2</v>
      </c>
      <c r="I21" s="3">
        <v>3.5087719298245612E-2</v>
      </c>
      <c r="J21" s="6">
        <v>5.9880239520958084E-2</v>
      </c>
    </row>
    <row r="22" spans="1:10" x14ac:dyDescent="0.45">
      <c r="A22" s="37" t="s">
        <v>81</v>
      </c>
      <c r="B22" s="25">
        <v>5.1211233589804249E-2</v>
      </c>
      <c r="C22" s="3">
        <v>4.4156854714856156E-2</v>
      </c>
      <c r="D22" s="6">
        <v>5.8213443875477527E-2</v>
      </c>
      <c r="E22" s="23">
        <v>8.1730769230769232E-2</v>
      </c>
      <c r="F22" s="3">
        <v>6.1538461538461542E-2</v>
      </c>
      <c r="G22" s="20">
        <v>0.10192307692307692</v>
      </c>
      <c r="H22" s="25">
        <v>0.11538461538461539</v>
      </c>
      <c r="I22" s="3">
        <v>8.771929824561403E-2</v>
      </c>
      <c r="J22" s="6">
        <v>0.1437125748502994</v>
      </c>
    </row>
    <row r="23" spans="1:10" x14ac:dyDescent="0.45">
      <c r="A23" s="37" t="s">
        <v>82</v>
      </c>
      <c r="B23" s="25">
        <v>5.1786457355928878E-2</v>
      </c>
      <c r="C23" s="3">
        <v>5.0087027746493304E-2</v>
      </c>
      <c r="D23" s="6">
        <v>5.3474762253109001E-2</v>
      </c>
      <c r="E23" s="23">
        <v>7.2115384615384609E-2</v>
      </c>
      <c r="F23" s="3">
        <v>8.6538461538461536E-2</v>
      </c>
      <c r="G23" s="20">
        <v>5.7692307692307696E-2</v>
      </c>
      <c r="H23" s="25">
        <v>7.6923076923076927E-2</v>
      </c>
      <c r="I23" s="3">
        <v>8.1871345029239762E-2</v>
      </c>
      <c r="J23" s="6">
        <v>7.1856287425149698E-2</v>
      </c>
    </row>
    <row r="24" spans="1:10" x14ac:dyDescent="0.45">
      <c r="A24" s="37" t="s">
        <v>83</v>
      </c>
      <c r="B24" s="25">
        <v>5.5547849642218976E-2</v>
      </c>
      <c r="C24" s="3">
        <v>5.5566704208047518E-2</v>
      </c>
      <c r="D24" s="6">
        <v>5.5531171259042514E-2</v>
      </c>
      <c r="E24" s="23">
        <v>7.6923076923076927E-2</v>
      </c>
      <c r="F24" s="3">
        <v>7.3076923076923081E-2</v>
      </c>
      <c r="G24" s="20">
        <v>8.0769230769230774E-2</v>
      </c>
      <c r="H24" s="25">
        <v>9.1715976331360943E-2</v>
      </c>
      <c r="I24" s="3">
        <v>0.10526315789473684</v>
      </c>
      <c r="J24" s="6">
        <v>7.7844311377245512E-2</v>
      </c>
    </row>
    <row r="25" spans="1:10" x14ac:dyDescent="0.45">
      <c r="A25" s="37" t="s">
        <v>84</v>
      </c>
      <c r="B25" s="25">
        <v>5.6930834441624986E-2</v>
      </c>
      <c r="C25" s="3">
        <v>5.8163202621070963E-2</v>
      </c>
      <c r="D25" s="6">
        <v>5.570998943347151E-2</v>
      </c>
      <c r="E25" s="23">
        <v>8.0769230769230774E-2</v>
      </c>
      <c r="F25" s="3">
        <v>7.1153846153846151E-2</v>
      </c>
      <c r="G25" s="20">
        <v>9.0384615384615383E-2</v>
      </c>
      <c r="H25" s="25">
        <v>9.7633136094674555E-2</v>
      </c>
      <c r="I25" s="3">
        <v>0.10526315789473684</v>
      </c>
      <c r="J25" s="6">
        <v>8.9820359281437126E-2</v>
      </c>
    </row>
    <row r="26" spans="1:10" x14ac:dyDescent="0.45">
      <c r="A26" s="37" t="s">
        <v>85</v>
      </c>
      <c r="B26" s="25">
        <v>6.6701479263387209E-2</v>
      </c>
      <c r="C26" s="3">
        <v>7.2120405446913088E-2</v>
      </c>
      <c r="D26" s="6">
        <v>6.1326505730309677E-2</v>
      </c>
      <c r="E26" s="23">
        <v>7.9807692307692302E-2</v>
      </c>
      <c r="F26" s="3">
        <v>8.6538461538461536E-2</v>
      </c>
      <c r="G26" s="20">
        <v>7.3076923076923081E-2</v>
      </c>
      <c r="H26" s="25">
        <v>5.9171597633136092E-2</v>
      </c>
      <c r="I26" s="3">
        <v>5.8479532163742687E-2</v>
      </c>
      <c r="J26" s="6">
        <v>5.9880239520958084E-2</v>
      </c>
    </row>
    <row r="27" spans="1:10" x14ac:dyDescent="0.45">
      <c r="A27" s="37" t="s">
        <v>86</v>
      </c>
      <c r="B27" s="25">
        <v>7.5284960142296492E-2</v>
      </c>
      <c r="C27" s="3">
        <v>8.265383434012491E-2</v>
      </c>
      <c r="D27" s="6">
        <v>6.7975290579533457E-2</v>
      </c>
      <c r="E27" s="23">
        <v>9.2307692307692313E-2</v>
      </c>
      <c r="F27" s="3">
        <v>9.8076923076923075E-2</v>
      </c>
      <c r="G27" s="20">
        <v>8.6538461538461536E-2</v>
      </c>
      <c r="H27" s="25">
        <v>4.4378698224852069E-2</v>
      </c>
      <c r="I27" s="3">
        <v>5.8479532163742687E-2</v>
      </c>
      <c r="J27" s="6">
        <v>2.9940119760479042E-2</v>
      </c>
    </row>
    <row r="28" spans="1:10" x14ac:dyDescent="0.45">
      <c r="A28" s="37" t="s">
        <v>87</v>
      </c>
      <c r="B28" s="25">
        <v>8.7548241283932071E-2</v>
      </c>
      <c r="C28" s="3">
        <v>0.10223814886863929</v>
      </c>
      <c r="D28" s="6">
        <v>7.2974071364707807E-2</v>
      </c>
      <c r="E28" s="23">
        <v>6.1538461538461542E-2</v>
      </c>
      <c r="F28" s="3">
        <v>6.9230769230769235E-2</v>
      </c>
      <c r="G28" s="20">
        <v>5.3846153846153849E-2</v>
      </c>
      <c r="H28" s="25">
        <v>8.2840236686390539E-2</v>
      </c>
      <c r="I28" s="3">
        <v>8.1871345029239762E-2</v>
      </c>
      <c r="J28" s="6">
        <v>8.3832335329341312E-2</v>
      </c>
    </row>
    <row r="29" spans="1:10" x14ac:dyDescent="0.45">
      <c r="A29" s="37" t="s">
        <v>88</v>
      </c>
      <c r="B29" s="25">
        <v>7.938495932637625E-2</v>
      </c>
      <c r="C29" s="3">
        <v>9.5546227091225566E-2</v>
      </c>
      <c r="D29" s="6">
        <v>6.3350402340892467E-2</v>
      </c>
      <c r="E29" s="23">
        <v>8.3653846153846148E-2</v>
      </c>
      <c r="F29" s="3">
        <v>9.6153846153846159E-2</v>
      </c>
      <c r="G29" s="20">
        <v>7.1153846153846151E-2</v>
      </c>
      <c r="H29" s="25">
        <v>9.7633136094674555E-2</v>
      </c>
      <c r="I29" s="3">
        <v>0.1111111111111111</v>
      </c>
      <c r="J29" s="6">
        <v>8.3832335329341312E-2</v>
      </c>
    </row>
    <row r="30" spans="1:10" x14ac:dyDescent="0.45">
      <c r="A30" s="37" t="s">
        <v>89</v>
      </c>
      <c r="B30" s="25">
        <v>6.894118031021286E-2</v>
      </c>
      <c r="C30" s="3">
        <v>8.0352206409337573E-2</v>
      </c>
      <c r="D30" s="6">
        <v>5.7620092660326749E-2</v>
      </c>
      <c r="E30" s="23">
        <v>5.9615384615384619E-2</v>
      </c>
      <c r="F30" s="3">
        <v>7.3076923076923081E-2</v>
      </c>
      <c r="G30" s="20">
        <v>4.6153846153846156E-2</v>
      </c>
      <c r="H30" s="25">
        <v>6.2130177514792898E-2</v>
      </c>
      <c r="I30" s="3">
        <v>5.8479532163742687E-2</v>
      </c>
      <c r="J30" s="6">
        <v>6.5868263473053898E-2</v>
      </c>
    </row>
    <row r="31" spans="1:10" x14ac:dyDescent="0.45">
      <c r="A31" s="37" t="s">
        <v>90</v>
      </c>
      <c r="B31" s="25">
        <v>5.1284666411011648E-2</v>
      </c>
      <c r="C31" s="3">
        <v>5.9490119791133417E-2</v>
      </c>
      <c r="D31" s="6">
        <v>4.3143948630415346E-2</v>
      </c>
      <c r="E31" s="23">
        <v>5.0961538461538461E-2</v>
      </c>
      <c r="F31" s="3">
        <v>4.807692307692308E-2</v>
      </c>
      <c r="G31" s="20">
        <v>5.3846153846153849E-2</v>
      </c>
      <c r="H31" s="25">
        <v>5.3254437869822487E-2</v>
      </c>
      <c r="I31" s="3">
        <v>7.0175438596491224E-2</v>
      </c>
      <c r="J31" s="6">
        <v>3.5928143712574849E-2</v>
      </c>
    </row>
    <row r="32" spans="1:10" x14ac:dyDescent="0.45">
      <c r="A32" s="37" t="s">
        <v>91</v>
      </c>
      <c r="B32" s="25">
        <v>4.1815912076435403E-2</v>
      </c>
      <c r="C32" s="3">
        <v>5.2421419064195757E-2</v>
      </c>
      <c r="D32" s="6">
        <v>3.1293180525075188E-2</v>
      </c>
      <c r="E32" s="23">
        <v>4.807692307692308E-2</v>
      </c>
      <c r="F32" s="3">
        <v>5.9615384615384619E-2</v>
      </c>
      <c r="G32" s="20">
        <v>3.653846153846154E-2</v>
      </c>
      <c r="H32" s="25">
        <v>4.142011834319527E-2</v>
      </c>
      <c r="I32" s="3">
        <v>5.8479532163742687E-2</v>
      </c>
      <c r="J32" s="6">
        <v>2.3952095808383235E-2</v>
      </c>
    </row>
    <row r="33" spans="1:10" x14ac:dyDescent="0.45">
      <c r="A33" s="37" t="s">
        <v>92</v>
      </c>
      <c r="B33" s="25">
        <v>3.0209446724488206E-2</v>
      </c>
      <c r="C33" s="3">
        <v>3.6260878468311664E-2</v>
      </c>
      <c r="D33" s="6">
        <v>2.4205478338616599E-2</v>
      </c>
      <c r="E33" s="23">
        <v>2.403846153846154E-2</v>
      </c>
      <c r="F33" s="3">
        <v>2.6923076923076925E-2</v>
      </c>
      <c r="G33" s="20">
        <v>2.1153846153846155E-2</v>
      </c>
      <c r="H33" s="25">
        <v>2.9585798816568047E-3</v>
      </c>
      <c r="I33" s="3">
        <v>5.8479532163742687E-3</v>
      </c>
      <c r="J33" s="6">
        <v>0</v>
      </c>
    </row>
    <row r="34" spans="1:10" x14ac:dyDescent="0.45">
      <c r="A34" s="37" t="s">
        <v>93</v>
      </c>
      <c r="B34" s="25">
        <v>1.7109847341323911E-2</v>
      </c>
      <c r="C34" s="3">
        <v>2.2066141087334908E-2</v>
      </c>
      <c r="D34" s="6">
        <v>1.2192148256522799E-2</v>
      </c>
      <c r="E34" s="23">
        <v>1.7307692307692309E-2</v>
      </c>
      <c r="F34" s="3">
        <v>1.5384615384615385E-2</v>
      </c>
      <c r="G34" s="20">
        <v>1.9230769230769232E-2</v>
      </c>
      <c r="H34" s="25">
        <v>1.4792899408284023E-2</v>
      </c>
      <c r="I34" s="3">
        <v>1.7543859649122806E-2</v>
      </c>
      <c r="J34" s="6">
        <v>1.1976047904191617E-2</v>
      </c>
    </row>
    <row r="35" spans="1:10" ht="14.65" thickBot="1" x14ac:dyDescent="0.5">
      <c r="A35" s="38" t="s">
        <v>94</v>
      </c>
      <c r="B35" s="26">
        <v>9.8236796370786781E-3</v>
      </c>
      <c r="C35" s="8">
        <v>1.2646667349237231E-2</v>
      </c>
      <c r="D35" s="9">
        <v>7.0226773957571325E-3</v>
      </c>
      <c r="E35" s="24">
        <v>1.4423076923076924E-2</v>
      </c>
      <c r="F35" s="8">
        <v>1.5384615384615385E-2</v>
      </c>
      <c r="G35" s="21">
        <v>1.3461538461538462E-2</v>
      </c>
      <c r="H35" s="26">
        <v>0</v>
      </c>
      <c r="I35" s="8">
        <v>0</v>
      </c>
      <c r="J35" s="9">
        <v>0</v>
      </c>
    </row>
    <row r="36" spans="1:10" x14ac:dyDescent="0.45">
      <c r="B36" s="11">
        <f>SUM(B12:B35)</f>
        <v>0.99999999999999978</v>
      </c>
      <c r="C36" s="11">
        <f t="shared" ref="C36:J36" si="0">SUM(C12:C35)</f>
        <v>1.0000368588102795</v>
      </c>
      <c r="D36" s="11">
        <f t="shared" si="0"/>
        <v>1.0000000000000002</v>
      </c>
      <c r="E36" s="11">
        <f t="shared" si="0"/>
        <v>1.0000000000000002</v>
      </c>
      <c r="F36" s="11">
        <f t="shared" si="0"/>
        <v>1</v>
      </c>
      <c r="G36" s="11">
        <f t="shared" si="0"/>
        <v>1.0000000000000002</v>
      </c>
      <c r="H36" s="11">
        <f t="shared" si="0"/>
        <v>0.99999999999999989</v>
      </c>
      <c r="I36" s="11">
        <f t="shared" si="0"/>
        <v>1</v>
      </c>
      <c r="J36" s="11">
        <f t="shared" si="0"/>
        <v>1</v>
      </c>
    </row>
  </sheetData>
  <mergeCells count="21">
    <mergeCell ref="B8:D8"/>
    <mergeCell ref="B9:D9"/>
    <mergeCell ref="B10:D10"/>
    <mergeCell ref="B5:D5"/>
    <mergeCell ref="B6:D6"/>
    <mergeCell ref="A3:J3"/>
    <mergeCell ref="A1:J2"/>
    <mergeCell ref="E10:G10"/>
    <mergeCell ref="H5:J5"/>
    <mergeCell ref="H6:J6"/>
    <mergeCell ref="H7:J7"/>
    <mergeCell ref="H8:J8"/>
    <mergeCell ref="H9:J9"/>
    <mergeCell ref="H10:J10"/>
    <mergeCell ref="E5:G5"/>
    <mergeCell ref="E6:G6"/>
    <mergeCell ref="E7:G7"/>
    <mergeCell ref="E8:G8"/>
    <mergeCell ref="E9:G9"/>
    <mergeCell ref="A4:J4"/>
    <mergeCell ref="B7:D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B912-C774-4C0D-9515-E46EA7EC5CDC}">
  <sheetPr>
    <tabColor rgb="FFFFFF00"/>
  </sheetPr>
  <dimension ref="A1:D36"/>
  <sheetViews>
    <sheetView workbookViewId="0">
      <selection activeCell="B10" sqref="B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18" t="s">
        <v>68</v>
      </c>
      <c r="B5" s="102">
        <v>215</v>
      </c>
      <c r="C5" s="102"/>
      <c r="D5" s="103"/>
    </row>
    <row r="6" spans="1:4" x14ac:dyDescent="0.45">
      <c r="A6" s="4" t="s">
        <v>0</v>
      </c>
      <c r="B6" s="88" t="s">
        <v>101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7</v>
      </c>
      <c r="C9" s="91"/>
      <c r="D9" s="92"/>
    </row>
    <row r="10" spans="1:4" x14ac:dyDescent="0.45">
      <c r="A10" s="58"/>
      <c r="B10" s="124" t="s">
        <v>134</v>
      </c>
      <c r="C10" s="125"/>
      <c r="D10" s="126"/>
    </row>
    <row r="11" spans="1:4" x14ac:dyDescent="0.45">
      <c r="A11" s="37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37" t="s">
        <v>71</v>
      </c>
      <c r="B12" s="25">
        <v>5.2441822353326778E-3</v>
      </c>
      <c r="C12" s="3">
        <v>7.2368421052631578E-3</v>
      </c>
      <c r="D12" s="6">
        <v>3.2658393207054214E-3</v>
      </c>
    </row>
    <row r="13" spans="1:4" x14ac:dyDescent="0.45">
      <c r="A13" s="37" t="s">
        <v>72</v>
      </c>
      <c r="B13" s="25">
        <v>2.3762700753851198E-3</v>
      </c>
      <c r="C13" s="3">
        <v>3.6184210526315789E-3</v>
      </c>
      <c r="D13" s="6">
        <v>1.1430437622468974E-3</v>
      </c>
    </row>
    <row r="14" spans="1:4" x14ac:dyDescent="0.45">
      <c r="A14" s="37" t="s">
        <v>73</v>
      </c>
      <c r="B14" s="25">
        <v>2.6220911176663389E-3</v>
      </c>
      <c r="C14" s="3">
        <v>1.8092105263157895E-3</v>
      </c>
      <c r="D14" s="6">
        <v>3.4291312867406921E-3</v>
      </c>
    </row>
    <row r="15" spans="1:4" x14ac:dyDescent="0.45">
      <c r="A15" s="37" t="s">
        <v>74</v>
      </c>
      <c r="B15" s="25">
        <v>3.1956735496558504E-3</v>
      </c>
      <c r="C15" s="3">
        <v>2.7960526315789474E-3</v>
      </c>
      <c r="D15" s="6">
        <v>3.5924232527759633E-3</v>
      </c>
    </row>
    <row r="16" spans="1:4" x14ac:dyDescent="0.45">
      <c r="A16" s="37" t="s">
        <v>75</v>
      </c>
      <c r="B16" s="25">
        <v>7.0468698787282862E-3</v>
      </c>
      <c r="C16" s="3">
        <v>3.7828947368421053E-3</v>
      </c>
      <c r="D16" s="6">
        <v>1.0287393860222076E-2</v>
      </c>
    </row>
    <row r="17" spans="1:4" x14ac:dyDescent="0.45">
      <c r="A17" s="37" t="s">
        <v>76</v>
      </c>
      <c r="B17" s="25">
        <v>1.3602097672894133E-2</v>
      </c>
      <c r="C17" s="3">
        <v>1.3157894736842105E-3</v>
      </c>
      <c r="D17" s="6">
        <v>2.5800130633572827E-2</v>
      </c>
    </row>
    <row r="18" spans="1:4" x14ac:dyDescent="0.45">
      <c r="A18" s="37" t="s">
        <v>77</v>
      </c>
      <c r="B18" s="25">
        <v>3.466076696165192E-2</v>
      </c>
      <c r="C18" s="3">
        <v>1.0690789473684211E-2</v>
      </c>
      <c r="D18" s="6">
        <v>5.8458523840627039E-2</v>
      </c>
    </row>
    <row r="19" spans="1:4" x14ac:dyDescent="0.45">
      <c r="A19" s="37" t="s">
        <v>78</v>
      </c>
      <c r="B19" s="25">
        <v>7.940019665683383E-2</v>
      </c>
      <c r="C19" s="3">
        <v>2.6644736842105263E-2</v>
      </c>
      <c r="D19" s="6">
        <v>0.13177661659046375</v>
      </c>
    </row>
    <row r="20" spans="1:4" x14ac:dyDescent="0.45">
      <c r="A20" s="37" t="s">
        <v>79</v>
      </c>
      <c r="B20" s="25">
        <v>6.5716158636512617E-2</v>
      </c>
      <c r="C20" s="3">
        <v>3.8157894736842106E-2</v>
      </c>
      <c r="D20" s="6">
        <v>9.3076420640104504E-2</v>
      </c>
    </row>
    <row r="21" spans="1:4" x14ac:dyDescent="0.45">
      <c r="A21" s="37" t="s">
        <v>80</v>
      </c>
      <c r="B21" s="25">
        <v>5.3343166175024583E-2</v>
      </c>
      <c r="C21" s="3">
        <v>3.7335526315789472E-2</v>
      </c>
      <c r="D21" s="6">
        <v>6.9235793598954931E-2</v>
      </c>
    </row>
    <row r="22" spans="1:4" x14ac:dyDescent="0.45">
      <c r="A22" s="37" t="s">
        <v>81</v>
      </c>
      <c r="B22" s="25">
        <v>4.1461815798098982E-2</v>
      </c>
      <c r="C22" s="3">
        <v>4.0131578947368421E-2</v>
      </c>
      <c r="D22" s="6">
        <v>4.2782495101241019E-2</v>
      </c>
    </row>
    <row r="23" spans="1:4" x14ac:dyDescent="0.45">
      <c r="A23" s="37" t="s">
        <v>82</v>
      </c>
      <c r="B23" s="25">
        <v>5.2523762700753852E-2</v>
      </c>
      <c r="C23" s="3">
        <v>4.8355263157894735E-2</v>
      </c>
      <c r="D23" s="6">
        <v>5.6662312214239056E-2</v>
      </c>
    </row>
    <row r="24" spans="1:4" x14ac:dyDescent="0.45">
      <c r="A24" s="37" t="s">
        <v>83</v>
      </c>
      <c r="B24" s="25">
        <v>5.2441822353326777E-2</v>
      </c>
      <c r="C24" s="3">
        <v>5.4276315789473686E-2</v>
      </c>
      <c r="D24" s="6">
        <v>5.0620509470934029E-2</v>
      </c>
    </row>
    <row r="25" spans="1:4" x14ac:dyDescent="0.45">
      <c r="A25" s="37" t="s">
        <v>84</v>
      </c>
      <c r="B25" s="25">
        <v>4.662405768600459E-2</v>
      </c>
      <c r="C25" s="3">
        <v>4.5394736842105265E-2</v>
      </c>
      <c r="D25" s="6">
        <v>4.7844546048334421E-2</v>
      </c>
    </row>
    <row r="26" spans="1:4" x14ac:dyDescent="0.45">
      <c r="A26" s="37" t="s">
        <v>85</v>
      </c>
      <c r="B26" s="25">
        <v>5.7849885283513605E-2</v>
      </c>
      <c r="C26" s="3">
        <v>5.5427631578947367E-2</v>
      </c>
      <c r="D26" s="6">
        <v>6.0254735467015021E-2</v>
      </c>
    </row>
    <row r="27" spans="1:4" x14ac:dyDescent="0.45">
      <c r="A27" s="37" t="s">
        <v>86</v>
      </c>
      <c r="B27" s="25">
        <v>6.4896755162241887E-2</v>
      </c>
      <c r="C27" s="3">
        <v>8.190789473684211E-2</v>
      </c>
      <c r="D27" s="6">
        <v>4.800783801436969E-2</v>
      </c>
    </row>
    <row r="28" spans="1:4" x14ac:dyDescent="0.45">
      <c r="A28" s="37" t="s">
        <v>87</v>
      </c>
      <c r="B28" s="25">
        <v>7.4565716158636511E-2</v>
      </c>
      <c r="C28" s="3">
        <v>9.7861842105263164E-2</v>
      </c>
      <c r="D28" s="6">
        <v>5.1436969301110386E-2</v>
      </c>
    </row>
    <row r="29" spans="1:4" x14ac:dyDescent="0.45">
      <c r="A29" s="37" t="s">
        <v>88</v>
      </c>
      <c r="B29" s="25">
        <v>9.4477220583415275E-2</v>
      </c>
      <c r="C29" s="3">
        <v>0.12105263157894737</v>
      </c>
      <c r="D29" s="6">
        <v>6.809274983670803E-2</v>
      </c>
    </row>
    <row r="30" spans="1:4" x14ac:dyDescent="0.45">
      <c r="A30" s="37" t="s">
        <v>89</v>
      </c>
      <c r="B30" s="25">
        <v>8.1612586037364793E-2</v>
      </c>
      <c r="C30" s="3">
        <v>9.769736842105263E-2</v>
      </c>
      <c r="D30" s="6">
        <v>6.5643370346178967E-2</v>
      </c>
    </row>
    <row r="31" spans="1:4" x14ac:dyDescent="0.45">
      <c r="A31" s="37" t="s">
        <v>90</v>
      </c>
      <c r="B31" s="25">
        <v>5.9324811537200921E-2</v>
      </c>
      <c r="C31" s="3">
        <v>7.3355263157894743E-2</v>
      </c>
      <c r="D31" s="6">
        <v>4.5395166557805358E-2</v>
      </c>
    </row>
    <row r="32" spans="1:4" x14ac:dyDescent="0.45">
      <c r="A32" s="37" t="s">
        <v>91</v>
      </c>
      <c r="B32" s="25">
        <v>4.6705998033431659E-2</v>
      </c>
      <c r="C32" s="3">
        <v>5.8717105263157897E-2</v>
      </c>
      <c r="D32" s="6">
        <v>3.4781188765512734E-2</v>
      </c>
    </row>
    <row r="33" spans="1:4" x14ac:dyDescent="0.45">
      <c r="A33" s="37" t="s">
        <v>92</v>
      </c>
      <c r="B33" s="25">
        <v>3.0481809242871191E-2</v>
      </c>
      <c r="C33" s="3">
        <v>4.7697368421052634E-2</v>
      </c>
      <c r="D33" s="6">
        <v>1.3389941214892228E-2</v>
      </c>
    </row>
    <row r="34" spans="1:4" x14ac:dyDescent="0.45">
      <c r="A34" s="37" t="s">
        <v>93</v>
      </c>
      <c r="B34" s="25">
        <v>2.0485086856768274E-2</v>
      </c>
      <c r="C34" s="3">
        <v>3.0098684210526316E-2</v>
      </c>
      <c r="D34" s="6">
        <v>1.0940561724363161E-2</v>
      </c>
    </row>
    <row r="35" spans="1:4" ht="14.65" thickBot="1" x14ac:dyDescent="0.5">
      <c r="A35" s="38" t="s">
        <v>94</v>
      </c>
      <c r="B35" s="26">
        <v>9.3411996066863328E-3</v>
      </c>
      <c r="C35" s="8">
        <v>1.4638157894736843E-2</v>
      </c>
      <c r="D35" s="9">
        <v>4.0822991508817769E-3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G36"/>
  <sheetViews>
    <sheetView workbookViewId="0">
      <selection activeCell="G35" sqref="A10:G35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110" t="s">
        <v>70</v>
      </c>
      <c r="B1" s="111"/>
      <c r="C1" s="111"/>
      <c r="D1" s="111"/>
      <c r="E1" s="111"/>
      <c r="F1" s="111"/>
      <c r="G1" s="112"/>
    </row>
    <row r="2" spans="1:7" ht="15" customHeight="1" x14ac:dyDescent="0.45">
      <c r="A2" s="133"/>
      <c r="B2" s="134"/>
      <c r="C2" s="134"/>
      <c r="D2" s="134"/>
      <c r="E2" s="134"/>
      <c r="F2" s="134"/>
      <c r="G2" s="135"/>
    </row>
    <row r="3" spans="1:7" ht="14.65" thickBot="1" x14ac:dyDescent="0.5">
      <c r="A3" s="131" t="s">
        <v>157</v>
      </c>
      <c r="B3" s="122"/>
      <c r="C3" s="122"/>
      <c r="D3" s="122"/>
      <c r="E3" s="122"/>
      <c r="F3" s="122"/>
      <c r="G3" s="123"/>
    </row>
    <row r="4" spans="1:7" x14ac:dyDescent="0.45">
      <c r="A4" s="36" t="s">
        <v>68</v>
      </c>
      <c r="B4" s="108">
        <v>220</v>
      </c>
      <c r="C4" s="102"/>
      <c r="D4" s="103"/>
      <c r="E4" s="101">
        <v>220</v>
      </c>
      <c r="F4" s="102"/>
      <c r="G4" s="103"/>
    </row>
    <row r="5" spans="1:7" x14ac:dyDescent="0.45">
      <c r="A5" s="37" t="s">
        <v>0</v>
      </c>
      <c r="B5" s="99" t="s">
        <v>9</v>
      </c>
      <c r="C5" s="88"/>
      <c r="D5" s="89"/>
      <c r="E5" s="87" t="s">
        <v>9</v>
      </c>
      <c r="F5" s="88"/>
      <c r="G5" s="89"/>
    </row>
    <row r="6" spans="1:7" x14ac:dyDescent="0.45">
      <c r="A6" s="37" t="s">
        <v>98</v>
      </c>
      <c r="B6" s="131" t="s">
        <v>102</v>
      </c>
      <c r="C6" s="122"/>
      <c r="D6" s="123"/>
      <c r="E6" s="122" t="s">
        <v>103</v>
      </c>
      <c r="F6" s="122"/>
      <c r="G6" s="123"/>
    </row>
    <row r="7" spans="1:7" x14ac:dyDescent="0.45">
      <c r="A7" s="37" t="s">
        <v>54</v>
      </c>
      <c r="B7" s="131" t="s">
        <v>55</v>
      </c>
      <c r="C7" s="122"/>
      <c r="D7" s="123"/>
      <c r="E7" s="122" t="s">
        <v>55</v>
      </c>
      <c r="F7" s="122"/>
      <c r="G7" s="123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8</v>
      </c>
      <c r="C9" s="91"/>
      <c r="D9" s="92"/>
      <c r="E9" s="90">
        <v>1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39" t="s">
        <v>65</v>
      </c>
      <c r="B11" s="28" t="s">
        <v>95</v>
      </c>
      <c r="C11" s="16" t="s">
        <v>66</v>
      </c>
      <c r="D11" s="17" t="s">
        <v>67</v>
      </c>
      <c r="E11" s="29" t="s">
        <v>95</v>
      </c>
      <c r="F11" s="16" t="s">
        <v>66</v>
      </c>
      <c r="G11" s="17" t="s">
        <v>67</v>
      </c>
    </row>
    <row r="12" spans="1:7" x14ac:dyDescent="0.45">
      <c r="A12" s="40" t="s">
        <v>71</v>
      </c>
      <c r="B12" s="42">
        <v>5.5159733394621923E-3</v>
      </c>
      <c r="C12" s="30">
        <v>7.5605616417219563E-3</v>
      </c>
      <c r="D12" s="31">
        <v>3.4996956786366401E-3</v>
      </c>
      <c r="E12" s="41">
        <v>3.5532994923857869E-3</v>
      </c>
      <c r="F12" s="30">
        <v>4.0567951318458417E-3</v>
      </c>
      <c r="G12" s="31">
        <v>3.0487804878048782E-3</v>
      </c>
    </row>
    <row r="13" spans="1:7" x14ac:dyDescent="0.45">
      <c r="A13" s="37" t="s">
        <v>72</v>
      </c>
      <c r="B13" s="25">
        <v>3.6007048188155979E-3</v>
      </c>
      <c r="C13" s="3">
        <v>4.3203209381268322E-3</v>
      </c>
      <c r="D13" s="6">
        <v>2.8910529519172246E-3</v>
      </c>
      <c r="E13" s="23">
        <v>1.5228426395939086E-3</v>
      </c>
      <c r="F13" s="3">
        <v>1.0141987829614604E-3</v>
      </c>
      <c r="G13" s="6">
        <v>2.0325203252032522E-3</v>
      </c>
    </row>
    <row r="14" spans="1:7" x14ac:dyDescent="0.45">
      <c r="A14" s="37" t="s">
        <v>73</v>
      </c>
      <c r="B14" s="25">
        <v>3.5240940779897342E-3</v>
      </c>
      <c r="C14" s="3">
        <v>3.7031322326801421E-3</v>
      </c>
      <c r="D14" s="6">
        <v>3.3475349969567863E-3</v>
      </c>
      <c r="E14" s="23">
        <v>1.0152284263959391E-3</v>
      </c>
      <c r="F14" s="3">
        <v>2.0283975659229209E-3</v>
      </c>
      <c r="G14" s="6">
        <v>0</v>
      </c>
    </row>
    <row r="15" spans="1:7" x14ac:dyDescent="0.45">
      <c r="A15" s="37" t="s">
        <v>74</v>
      </c>
      <c r="B15" s="25">
        <v>4.3668122270742356E-3</v>
      </c>
      <c r="C15" s="3">
        <v>4.7832124672118502E-3</v>
      </c>
      <c r="D15" s="6">
        <v>3.9561777236762023E-3</v>
      </c>
      <c r="E15" s="23">
        <v>1.5228426395939086E-3</v>
      </c>
      <c r="F15" s="3">
        <v>1.0141987829614604E-3</v>
      </c>
      <c r="G15" s="6">
        <v>2.0325203252032522E-3</v>
      </c>
    </row>
    <row r="16" spans="1:7" x14ac:dyDescent="0.45">
      <c r="A16" s="37" t="s">
        <v>75</v>
      </c>
      <c r="B16" s="25">
        <v>8.3505707500191526E-3</v>
      </c>
      <c r="C16" s="3">
        <v>4.1660237617651601E-3</v>
      </c>
      <c r="D16" s="6">
        <v>1.2477175897748022E-2</v>
      </c>
      <c r="E16" s="23">
        <v>1.5228426395939086E-3</v>
      </c>
      <c r="F16" s="3">
        <v>2.0283975659229209E-3</v>
      </c>
      <c r="G16" s="6">
        <v>1.0162601626016261E-3</v>
      </c>
    </row>
    <row r="17" spans="1:7" x14ac:dyDescent="0.45">
      <c r="A17" s="37" t="s">
        <v>76</v>
      </c>
      <c r="B17" s="25">
        <v>1.5858423350953804E-2</v>
      </c>
      <c r="C17" s="3">
        <v>6.7890757599135933E-3</v>
      </c>
      <c r="D17" s="6">
        <v>2.480219111381619E-2</v>
      </c>
      <c r="E17" s="23">
        <v>2.4365482233502538E-2</v>
      </c>
      <c r="F17" s="3">
        <v>9.1277890466531439E-3</v>
      </c>
      <c r="G17" s="6">
        <v>3.9634146341463415E-2</v>
      </c>
    </row>
    <row r="18" spans="1:7" x14ac:dyDescent="0.45">
      <c r="A18" s="37" t="s">
        <v>77</v>
      </c>
      <c r="B18" s="25">
        <v>4.1752853750095763E-2</v>
      </c>
      <c r="C18" s="3">
        <v>1.6355500694337295E-2</v>
      </c>
      <c r="D18" s="6">
        <v>6.679853925745588E-2</v>
      </c>
      <c r="E18" s="23">
        <v>4.3654822335025378E-2</v>
      </c>
      <c r="F18" s="3">
        <v>2.0283975659229209E-2</v>
      </c>
      <c r="G18" s="6">
        <v>6.7073170731707321E-2</v>
      </c>
    </row>
    <row r="19" spans="1:7" x14ac:dyDescent="0.45">
      <c r="A19" s="37" t="s">
        <v>78</v>
      </c>
      <c r="B19" s="25">
        <v>6.5885237110242856E-2</v>
      </c>
      <c r="C19" s="3">
        <v>2.4378953865144267E-2</v>
      </c>
      <c r="D19" s="6">
        <v>0.10681679853925746</v>
      </c>
      <c r="E19" s="23">
        <v>7.208121827411168E-2</v>
      </c>
      <c r="F19" s="3">
        <v>4.1582150101419878E-2</v>
      </c>
      <c r="G19" s="6">
        <v>0.10264227642276423</v>
      </c>
    </row>
    <row r="20" spans="1:7" x14ac:dyDescent="0.45">
      <c r="A20" s="37" t="s">
        <v>79</v>
      </c>
      <c r="B20" s="25">
        <v>6.0369263770780661E-2</v>
      </c>
      <c r="C20" s="3">
        <v>3.4408270328652985E-2</v>
      </c>
      <c r="D20" s="6">
        <v>8.5970785149117462E-2</v>
      </c>
      <c r="E20" s="23">
        <v>5.1776649746192893E-2</v>
      </c>
      <c r="F20" s="3">
        <v>3.4482758620689655E-2</v>
      </c>
      <c r="G20" s="6">
        <v>6.910569105691057E-2</v>
      </c>
    </row>
    <row r="21" spans="1:7" x14ac:dyDescent="0.45">
      <c r="A21" s="37" t="s">
        <v>80</v>
      </c>
      <c r="B21" s="25">
        <v>4.129318930514058E-2</v>
      </c>
      <c r="C21" s="3">
        <v>2.9316463508717791E-2</v>
      </c>
      <c r="D21" s="6">
        <v>5.3104077906269018E-2</v>
      </c>
      <c r="E21" s="23">
        <v>4.4162436548223348E-2</v>
      </c>
      <c r="F21" s="3">
        <v>3.1440162271805273E-2</v>
      </c>
      <c r="G21" s="6">
        <v>5.6910569105691054E-2</v>
      </c>
    </row>
    <row r="22" spans="1:7" x14ac:dyDescent="0.45">
      <c r="A22" s="37" t="s">
        <v>81</v>
      </c>
      <c r="B22" s="25">
        <v>3.9454531525319851E-2</v>
      </c>
      <c r="C22" s="3">
        <v>2.9162166332356118E-2</v>
      </c>
      <c r="D22" s="6">
        <v>4.9604382227632381E-2</v>
      </c>
      <c r="E22" s="23">
        <v>3.9086294416243658E-2</v>
      </c>
      <c r="F22" s="3">
        <v>3.4482758620689655E-2</v>
      </c>
      <c r="G22" s="6">
        <v>4.3699186991869921E-2</v>
      </c>
    </row>
    <row r="23" spans="1:7" x14ac:dyDescent="0.45">
      <c r="A23" s="37" t="s">
        <v>82</v>
      </c>
      <c r="B23" s="25">
        <v>4.6043055236344138E-2</v>
      </c>
      <c r="C23" s="3">
        <v>4.5517667026693409E-2</v>
      </c>
      <c r="D23" s="6">
        <v>4.65611685940353E-2</v>
      </c>
      <c r="E23" s="23">
        <v>5.3807106598984772E-2</v>
      </c>
      <c r="F23" s="3">
        <v>6.3894523326572014E-2</v>
      </c>
      <c r="G23" s="6">
        <v>4.3699186991869921E-2</v>
      </c>
    </row>
    <row r="24" spans="1:7" x14ac:dyDescent="0.45">
      <c r="A24" s="37" t="s">
        <v>83</v>
      </c>
      <c r="B24" s="25">
        <v>4.9567149314333869E-2</v>
      </c>
      <c r="C24" s="3">
        <v>4.9992285141181918E-2</v>
      </c>
      <c r="D24" s="6">
        <v>4.9147900182592817E-2</v>
      </c>
      <c r="E24" s="23">
        <v>6.1421319796954317E-2</v>
      </c>
      <c r="F24" s="3">
        <v>5.7809330628803245E-2</v>
      </c>
      <c r="G24" s="6">
        <v>6.5040650406504072E-2</v>
      </c>
    </row>
    <row r="25" spans="1:7" x14ac:dyDescent="0.45">
      <c r="A25" s="37" t="s">
        <v>84</v>
      </c>
      <c r="B25" s="25">
        <v>4.5966444495518274E-2</v>
      </c>
      <c r="C25" s="3">
        <v>4.412899243943836E-2</v>
      </c>
      <c r="D25" s="6">
        <v>4.7778454047474134E-2</v>
      </c>
      <c r="E25" s="23">
        <v>4.7208121827411166E-2</v>
      </c>
      <c r="F25" s="3">
        <v>4.0567951318458417E-2</v>
      </c>
      <c r="G25" s="6">
        <v>5.386178861788618E-2</v>
      </c>
    </row>
    <row r="26" spans="1:7" x14ac:dyDescent="0.45">
      <c r="A26" s="37" t="s">
        <v>85</v>
      </c>
      <c r="B26" s="25">
        <v>5.4546847468015018E-2</v>
      </c>
      <c r="C26" s="3">
        <v>5.8941521370158928E-2</v>
      </c>
      <c r="D26" s="6">
        <v>5.0213024954351794E-2</v>
      </c>
      <c r="E26" s="23">
        <v>6.8020304568527923E-2</v>
      </c>
      <c r="F26" s="3">
        <v>7.5050709939148072E-2</v>
      </c>
      <c r="G26" s="6">
        <v>6.097560975609756E-2</v>
      </c>
    </row>
    <row r="27" spans="1:7" x14ac:dyDescent="0.45">
      <c r="A27" s="37" t="s">
        <v>86</v>
      </c>
      <c r="B27" s="25">
        <v>6.1595035623994487E-2</v>
      </c>
      <c r="C27" s="3">
        <v>7.0050918068199353E-2</v>
      </c>
      <c r="D27" s="6">
        <v>5.3256238587948874E-2</v>
      </c>
      <c r="E27" s="23">
        <v>6.4974619289340105E-2</v>
      </c>
      <c r="F27" s="3">
        <v>7.6064908722109539E-2</v>
      </c>
      <c r="G27" s="6">
        <v>5.386178861788618E-2</v>
      </c>
    </row>
    <row r="28" spans="1:7" x14ac:dyDescent="0.45">
      <c r="A28" s="37" t="s">
        <v>87</v>
      </c>
      <c r="B28" s="25">
        <v>7.8755841568987975E-2</v>
      </c>
      <c r="C28" s="3">
        <v>0.10121894769325722</v>
      </c>
      <c r="D28" s="6">
        <v>5.6603773584905662E-2</v>
      </c>
      <c r="E28" s="23">
        <v>9.5431472081218272E-2</v>
      </c>
      <c r="F28" s="3">
        <v>0.11561866125760649</v>
      </c>
      <c r="G28" s="6">
        <v>7.5203252032520332E-2</v>
      </c>
    </row>
    <row r="29" spans="1:7" x14ac:dyDescent="0.45">
      <c r="A29" s="37" t="s">
        <v>88</v>
      </c>
      <c r="B29" s="25">
        <v>9.5227150846548689E-2</v>
      </c>
      <c r="C29" s="3">
        <v>0.11325412744946768</v>
      </c>
      <c r="D29" s="6">
        <v>7.7449786975045648E-2</v>
      </c>
      <c r="E29" s="23">
        <v>0.11218274111675126</v>
      </c>
      <c r="F29" s="3">
        <v>0.13488843813387424</v>
      </c>
      <c r="G29" s="6">
        <v>8.943089430894309E-2</v>
      </c>
    </row>
    <row r="30" spans="1:7" x14ac:dyDescent="0.45">
      <c r="A30" s="37" t="s">
        <v>89</v>
      </c>
      <c r="B30" s="25">
        <v>8.2279935646977706E-2</v>
      </c>
      <c r="C30" s="3">
        <v>9.9058787224193798E-2</v>
      </c>
      <c r="D30" s="6">
        <v>6.5733414485696889E-2</v>
      </c>
      <c r="E30" s="23">
        <v>7.1573604060913704E-2</v>
      </c>
      <c r="F30" s="3">
        <v>7.7079107505070993E-2</v>
      </c>
      <c r="G30" s="6">
        <v>6.605691056910569E-2</v>
      </c>
    </row>
    <row r="31" spans="1:7" x14ac:dyDescent="0.45">
      <c r="A31" s="37" t="s">
        <v>90</v>
      </c>
      <c r="B31" s="25">
        <v>5.8760438213437523E-2</v>
      </c>
      <c r="C31" s="3">
        <v>7.3599753124517817E-2</v>
      </c>
      <c r="D31" s="6">
        <v>4.412659768715764E-2</v>
      </c>
      <c r="E31" s="23">
        <v>6.0913705583756347E-2</v>
      </c>
      <c r="F31" s="3">
        <v>7.5050709939148072E-2</v>
      </c>
      <c r="G31" s="6">
        <v>4.6747967479674794E-2</v>
      </c>
    </row>
    <row r="32" spans="1:7" x14ac:dyDescent="0.45">
      <c r="A32" s="37" t="s">
        <v>91</v>
      </c>
      <c r="B32" s="25">
        <v>5.1405807094154599E-2</v>
      </c>
      <c r="C32" s="3">
        <v>6.5884894306434197E-2</v>
      </c>
      <c r="D32" s="6">
        <v>3.7127206329884359E-2</v>
      </c>
      <c r="E32" s="23">
        <v>3.1979695431472083E-2</v>
      </c>
      <c r="F32" s="3">
        <v>4.1582150101419878E-2</v>
      </c>
      <c r="G32" s="6">
        <v>2.2357723577235773E-2</v>
      </c>
    </row>
    <row r="33" spans="1:7" x14ac:dyDescent="0.45">
      <c r="A33" s="37" t="s">
        <v>92</v>
      </c>
      <c r="B33" s="25">
        <v>3.9377920784493987E-2</v>
      </c>
      <c r="C33" s="3">
        <v>5.2615337139330351E-2</v>
      </c>
      <c r="D33" s="6">
        <v>2.6323797930614731E-2</v>
      </c>
      <c r="E33" s="23">
        <v>2.4365482233502538E-2</v>
      </c>
      <c r="F33" s="3">
        <v>3.3468559837728194E-2</v>
      </c>
      <c r="G33" s="6">
        <v>1.524390243902439E-2</v>
      </c>
    </row>
    <row r="34" spans="1:7" x14ac:dyDescent="0.45">
      <c r="A34" s="37" t="s">
        <v>93</v>
      </c>
      <c r="B34" s="25">
        <v>2.9724967440435148E-2</v>
      </c>
      <c r="C34" s="3">
        <v>3.872859126677982E-2</v>
      </c>
      <c r="D34" s="6">
        <v>2.0846013390139986E-2</v>
      </c>
      <c r="E34" s="23">
        <v>1.2690355329949238E-2</v>
      </c>
      <c r="F34" s="3">
        <v>1.5212981744421906E-2</v>
      </c>
      <c r="G34" s="6">
        <v>1.016260162601626E-2</v>
      </c>
    </row>
    <row r="35" spans="1:7" ht="14.65" thickBot="1" x14ac:dyDescent="0.5">
      <c r="A35" s="38" t="s">
        <v>94</v>
      </c>
      <c r="B35" s="26">
        <v>1.6777752240864169E-2</v>
      </c>
      <c r="C35" s="8">
        <v>2.206449621971918E-2</v>
      </c>
      <c r="D35" s="9">
        <v>1.1564211807668898E-2</v>
      </c>
      <c r="E35" s="24">
        <v>1.1167512690355329E-2</v>
      </c>
      <c r="F35" s="8">
        <v>1.2170385395537525E-2</v>
      </c>
      <c r="G35" s="9">
        <v>1.016260162601626E-2</v>
      </c>
    </row>
    <row r="36" spans="1:7" x14ac:dyDescent="0.45">
      <c r="B36" s="11">
        <f t="shared" ref="B36:G36" si="0">SUM(B12:B35)</f>
        <v>0.99999999999999989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0.99999999999999989</v>
      </c>
      <c r="G36" s="11">
        <f t="shared" si="0"/>
        <v>1</v>
      </c>
    </row>
  </sheetData>
  <mergeCells count="16">
    <mergeCell ref="A1:G2"/>
    <mergeCell ref="B7:D7"/>
    <mergeCell ref="E7:G7"/>
    <mergeCell ref="E4:G4"/>
    <mergeCell ref="E5:G5"/>
    <mergeCell ref="E6:G6"/>
    <mergeCell ref="B6:D6"/>
    <mergeCell ref="B4:D4"/>
    <mergeCell ref="B5:D5"/>
    <mergeCell ref="E10:G10"/>
    <mergeCell ref="A3:G3"/>
    <mergeCell ref="E8:G8"/>
    <mergeCell ref="E9:G9"/>
    <mergeCell ref="B8:D8"/>
    <mergeCell ref="B9:D9"/>
    <mergeCell ref="B10:D10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A0D4-386F-4B70-806B-00C04B27F436}">
  <sheetPr>
    <tabColor rgb="FFFFFF00"/>
  </sheetPr>
  <dimension ref="A1:M36"/>
  <sheetViews>
    <sheetView workbookViewId="0">
      <selection activeCell="A10" sqref="A10:M35"/>
    </sheetView>
  </sheetViews>
  <sheetFormatPr defaultRowHeight="14.25" x14ac:dyDescent="0.45"/>
  <cols>
    <col min="1" max="1" width="17.796875" customWidth="1"/>
    <col min="2" max="13" width="17.796875" style="1" customWidth="1"/>
  </cols>
  <sheetData>
    <row r="1" spans="1:13" ht="15" customHeight="1" x14ac:dyDescent="0.45">
      <c r="A1" s="110" t="s">
        <v>70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15" customHeight="1" x14ac:dyDescent="0.4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1:13" ht="14.65" thickBot="1" x14ac:dyDescent="0.5">
      <c r="A3" s="119" t="s">
        <v>157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1"/>
    </row>
    <row r="4" spans="1:13" x14ac:dyDescent="0.45">
      <c r="A4" s="36" t="s">
        <v>68</v>
      </c>
      <c r="B4" s="108">
        <v>221</v>
      </c>
      <c r="C4" s="102"/>
      <c r="D4" s="103"/>
      <c r="E4" s="101">
        <v>221</v>
      </c>
      <c r="F4" s="102"/>
      <c r="G4" s="103"/>
      <c r="H4" s="102">
        <v>221</v>
      </c>
      <c r="I4" s="102"/>
      <c r="J4" s="103"/>
      <c r="K4" s="102">
        <v>221</v>
      </c>
      <c r="L4" s="102"/>
      <c r="M4" s="103"/>
    </row>
    <row r="5" spans="1:13" x14ac:dyDescent="0.45">
      <c r="A5" s="37" t="s">
        <v>0</v>
      </c>
      <c r="B5" s="99" t="s">
        <v>10</v>
      </c>
      <c r="C5" s="88"/>
      <c r="D5" s="89"/>
      <c r="E5" s="87" t="s">
        <v>10</v>
      </c>
      <c r="F5" s="88"/>
      <c r="G5" s="89"/>
      <c r="H5" s="88" t="s">
        <v>10</v>
      </c>
      <c r="I5" s="88"/>
      <c r="J5" s="89"/>
      <c r="K5" s="88" t="s">
        <v>10</v>
      </c>
      <c r="L5" s="88"/>
      <c r="M5" s="89"/>
    </row>
    <row r="6" spans="1:13" x14ac:dyDescent="0.45">
      <c r="A6" s="37" t="s">
        <v>98</v>
      </c>
      <c r="B6" s="131" t="s">
        <v>104</v>
      </c>
      <c r="C6" s="122"/>
      <c r="D6" s="123"/>
      <c r="E6" s="122" t="s">
        <v>104</v>
      </c>
      <c r="F6" s="122"/>
      <c r="G6" s="123"/>
      <c r="H6" s="104" t="s">
        <v>104</v>
      </c>
      <c r="I6" s="122"/>
      <c r="J6" s="123"/>
      <c r="K6" s="104" t="s">
        <v>104</v>
      </c>
      <c r="L6" s="122"/>
      <c r="M6" s="123"/>
    </row>
    <row r="7" spans="1:13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  <c r="H7" s="88" t="s">
        <v>55</v>
      </c>
      <c r="I7" s="88"/>
      <c r="J7" s="89"/>
      <c r="K7" s="88" t="s">
        <v>56</v>
      </c>
      <c r="L7" s="88"/>
      <c r="M7" s="89"/>
    </row>
    <row r="8" spans="1:13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89"/>
      <c r="H8" s="88" t="s">
        <v>63</v>
      </c>
      <c r="I8" s="88"/>
      <c r="J8" s="89"/>
      <c r="K8" s="88" t="s">
        <v>60</v>
      </c>
      <c r="L8" s="88"/>
      <c r="M8" s="89"/>
    </row>
    <row r="9" spans="1:13" ht="14.65" thickBot="1" x14ac:dyDescent="0.5">
      <c r="A9" s="38" t="s">
        <v>64</v>
      </c>
      <c r="B9" s="100">
        <v>6</v>
      </c>
      <c r="C9" s="91"/>
      <c r="D9" s="92"/>
      <c r="E9" s="90">
        <v>1</v>
      </c>
      <c r="F9" s="91"/>
      <c r="G9" s="92"/>
      <c r="H9" s="91">
        <v>1</v>
      </c>
      <c r="I9" s="91"/>
      <c r="J9" s="92"/>
      <c r="K9" s="91">
        <v>2</v>
      </c>
      <c r="L9" s="91"/>
      <c r="M9" s="92"/>
    </row>
    <row r="10" spans="1:13" x14ac:dyDescent="0.45">
      <c r="A10" s="58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101" t="s">
        <v>134</v>
      </c>
      <c r="L10" s="102"/>
      <c r="M10" s="103"/>
    </row>
    <row r="11" spans="1:13" x14ac:dyDescent="0.45">
      <c r="A11" s="43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5" t="s">
        <v>67</v>
      </c>
    </row>
    <row r="12" spans="1:13" x14ac:dyDescent="0.45">
      <c r="A12" s="37" t="s">
        <v>71</v>
      </c>
      <c r="B12" s="25">
        <v>7.7126309049830371E-3</v>
      </c>
      <c r="C12" s="3">
        <v>1.1702300565906706E-2</v>
      </c>
      <c r="D12" s="6">
        <v>3.7535556142048628E-3</v>
      </c>
      <c r="E12" s="23">
        <v>1.8027571580063628E-2</v>
      </c>
      <c r="F12" s="3">
        <v>2.813852813852814E-2</v>
      </c>
      <c r="G12" s="20">
        <v>8.3160083160083165E-3</v>
      </c>
      <c r="H12" s="25">
        <v>3.4867503486750349E-2</v>
      </c>
      <c r="I12" s="3">
        <v>5.4973821989528798E-2</v>
      </c>
      <c r="J12" s="6">
        <v>1.1940298507462687E-2</v>
      </c>
      <c r="K12" s="23">
        <v>7.3964497041420114E-3</v>
      </c>
      <c r="L12" s="3">
        <v>1.1435832274459974E-2</v>
      </c>
      <c r="M12" s="6">
        <v>3.3741037536904259E-3</v>
      </c>
    </row>
    <row r="13" spans="1:13" x14ac:dyDescent="0.45">
      <c r="A13" s="37" t="s">
        <v>72</v>
      </c>
      <c r="B13" s="25">
        <v>4.4818628064262111E-3</v>
      </c>
      <c r="C13" s="3">
        <v>5.6442914345661141E-3</v>
      </c>
      <c r="D13" s="6">
        <v>3.3283481422832178E-3</v>
      </c>
      <c r="E13" s="23">
        <v>3.1813361611876989E-3</v>
      </c>
      <c r="F13" s="3">
        <v>4.329004329004329E-3</v>
      </c>
      <c r="G13" s="20">
        <v>2.0790020790020791E-3</v>
      </c>
      <c r="H13" s="25">
        <v>1.9525801952580194E-2</v>
      </c>
      <c r="I13" s="3">
        <v>2.8795811518324606E-2</v>
      </c>
      <c r="J13" s="6">
        <v>8.9552238805970154E-3</v>
      </c>
      <c r="K13" s="23">
        <v>2.7472527472527475E-3</v>
      </c>
      <c r="L13" s="3">
        <v>1.2706480304955528E-3</v>
      </c>
      <c r="M13" s="6">
        <v>4.2176296921130323E-3</v>
      </c>
    </row>
    <row r="14" spans="1:13" x14ac:dyDescent="0.45">
      <c r="A14" s="37" t="s">
        <v>73</v>
      </c>
      <c r="B14" s="25">
        <v>2.0017515325910168E-3</v>
      </c>
      <c r="C14" s="3">
        <v>2.8664726133660369E-3</v>
      </c>
      <c r="D14" s="6">
        <v>1.143661476203044E-3</v>
      </c>
      <c r="E14" s="23">
        <v>5.3022269353128317E-3</v>
      </c>
      <c r="F14" s="3">
        <v>8.658008658008658E-3</v>
      </c>
      <c r="G14" s="20">
        <v>2.0790020790020791E-3</v>
      </c>
      <c r="H14" s="25">
        <v>3.3472803347280332E-2</v>
      </c>
      <c r="I14" s="3">
        <v>4.712041884816754E-2</v>
      </c>
      <c r="J14" s="6">
        <v>1.7910447761194031E-2</v>
      </c>
      <c r="K14" s="23">
        <v>3.3812341504649195E-3</v>
      </c>
      <c r="L14" s="3">
        <v>4.6590427784836937E-3</v>
      </c>
      <c r="M14" s="6">
        <v>2.1088148460565162E-3</v>
      </c>
    </row>
    <row r="15" spans="1:13" x14ac:dyDescent="0.45">
      <c r="A15" s="37" t="s">
        <v>74</v>
      </c>
      <c r="B15" s="25">
        <v>2.3550018030482553E-3</v>
      </c>
      <c r="C15" s="3">
        <v>2.4527549165915571E-3</v>
      </c>
      <c r="D15" s="6">
        <v>2.2579982991701125E-3</v>
      </c>
      <c r="E15" s="23">
        <v>1.6967126193001062E-2</v>
      </c>
      <c r="F15" s="3">
        <v>2.3809523809523808E-2</v>
      </c>
      <c r="G15" s="20">
        <v>1.0395010395010396E-2</v>
      </c>
      <c r="H15" s="25">
        <v>5.5788005578800556E-3</v>
      </c>
      <c r="I15" s="3">
        <v>5.235602094240838E-3</v>
      </c>
      <c r="J15" s="6">
        <v>5.9701492537313433E-3</v>
      </c>
      <c r="K15" s="23">
        <v>8.4530853761622987E-4</v>
      </c>
      <c r="L15" s="3">
        <v>8.4709868699703512E-4</v>
      </c>
      <c r="M15" s="6">
        <v>8.4352593842260647E-4</v>
      </c>
    </row>
    <row r="16" spans="1:13" x14ac:dyDescent="0.45">
      <c r="A16" s="37" t="s">
        <v>75</v>
      </c>
      <c r="B16" s="25">
        <v>3.2086899566532478E-3</v>
      </c>
      <c r="C16" s="3">
        <v>1.1229480341021589E-3</v>
      </c>
      <c r="D16" s="6">
        <v>5.2784375824755881E-3</v>
      </c>
      <c r="E16" s="23">
        <v>3.1813361611876989E-3</v>
      </c>
      <c r="F16" s="3">
        <v>4.329004329004329E-3</v>
      </c>
      <c r="G16" s="20">
        <v>2.0790020790020791E-3</v>
      </c>
      <c r="H16" s="25">
        <v>5.5788005578800556E-3</v>
      </c>
      <c r="I16" s="3">
        <v>1.0471204188481676E-2</v>
      </c>
      <c r="J16" s="6">
        <v>0</v>
      </c>
      <c r="K16" s="23">
        <v>4.6491969568892644E-3</v>
      </c>
      <c r="L16" s="3">
        <v>8.4709868699703512E-4</v>
      </c>
      <c r="M16" s="6">
        <v>8.4352593842260647E-3</v>
      </c>
    </row>
    <row r="17" spans="1:13" x14ac:dyDescent="0.45">
      <c r="A17" s="37" t="s">
        <v>76</v>
      </c>
      <c r="B17" s="25">
        <v>1.229752504029261E-2</v>
      </c>
      <c r="C17" s="3">
        <v>4.1076257036894749E-3</v>
      </c>
      <c r="D17" s="6">
        <v>2.0424620978856931E-2</v>
      </c>
      <c r="E17" s="23">
        <v>2.1208907741251328E-3</v>
      </c>
      <c r="F17" s="3">
        <v>2.1645021645021645E-3</v>
      </c>
      <c r="G17" s="20">
        <v>2.0790020790020791E-3</v>
      </c>
      <c r="H17" s="25">
        <v>4.1841004184100415E-3</v>
      </c>
      <c r="I17" s="3">
        <v>5.235602094240838E-3</v>
      </c>
      <c r="J17" s="6">
        <v>2.9850746268656717E-3</v>
      </c>
      <c r="K17" s="23">
        <v>1.69061707523246E-2</v>
      </c>
      <c r="L17" s="3">
        <v>5.5061414654807286E-3</v>
      </c>
      <c r="M17" s="6">
        <v>2.8258118937157319E-2</v>
      </c>
    </row>
    <row r="18" spans="1:13" x14ac:dyDescent="0.45">
      <c r="A18" s="37" t="s">
        <v>77</v>
      </c>
      <c r="B18" s="25">
        <v>4.3803033536697553E-2</v>
      </c>
      <c r="C18" s="3">
        <v>9.6928146101449494E-3</v>
      </c>
      <c r="D18" s="6">
        <v>7.7651681768863098E-2</v>
      </c>
      <c r="E18" s="23">
        <v>1.166489925768823E-2</v>
      </c>
      <c r="F18" s="3">
        <v>4.329004329004329E-3</v>
      </c>
      <c r="G18" s="20">
        <v>1.8711018711018712E-2</v>
      </c>
      <c r="H18" s="25">
        <v>5.5788005578800556E-3</v>
      </c>
      <c r="I18" s="3">
        <v>0</v>
      </c>
      <c r="J18" s="6">
        <v>1.1940298507462687E-2</v>
      </c>
      <c r="K18" s="23">
        <v>3.7827557058326286E-2</v>
      </c>
      <c r="L18" s="3">
        <v>1.397712833545108E-2</v>
      </c>
      <c r="M18" s="6">
        <v>6.1577393504850274E-2</v>
      </c>
    </row>
    <row r="19" spans="1:13" x14ac:dyDescent="0.45">
      <c r="A19" s="37" t="s">
        <v>78</v>
      </c>
      <c r="B19" s="25">
        <v>8.600172209506847E-2</v>
      </c>
      <c r="C19" s="3">
        <v>2.4970818126745373E-2</v>
      </c>
      <c r="D19" s="6">
        <v>0.1465646168734055</v>
      </c>
      <c r="E19" s="23">
        <v>3.4994697773064687E-2</v>
      </c>
      <c r="F19" s="3">
        <v>3.0303030303030304E-2</v>
      </c>
      <c r="G19" s="20">
        <v>3.9501039501039503E-2</v>
      </c>
      <c r="H19" s="25">
        <v>1.2552301255230125E-2</v>
      </c>
      <c r="I19" s="3">
        <v>7.8534031413612562E-3</v>
      </c>
      <c r="J19" s="6">
        <v>1.7910447761194031E-2</v>
      </c>
      <c r="K19" s="23">
        <v>9.0448013524936602E-2</v>
      </c>
      <c r="L19" s="3">
        <v>1.6518424396442185E-2</v>
      </c>
      <c r="M19" s="6">
        <v>0.16406579502319696</v>
      </c>
    </row>
    <row r="20" spans="1:13" x14ac:dyDescent="0.45">
      <c r="A20" s="37" t="s">
        <v>79</v>
      </c>
      <c r="B20" s="25">
        <v>7.7501637462191172E-2</v>
      </c>
      <c r="C20" s="3">
        <v>2.9625142215458262E-2</v>
      </c>
      <c r="D20" s="6">
        <v>0.12501099674496349</v>
      </c>
      <c r="E20" s="23">
        <v>3.8176033934252389E-2</v>
      </c>
      <c r="F20" s="3">
        <v>2.813852813852814E-2</v>
      </c>
      <c r="G20" s="20">
        <v>4.781704781704782E-2</v>
      </c>
      <c r="H20" s="25">
        <v>2.2315202231520222E-2</v>
      </c>
      <c r="I20" s="3">
        <v>7.8534031413612562E-3</v>
      </c>
      <c r="J20" s="6">
        <v>3.880597014925373E-2</v>
      </c>
      <c r="K20" s="23">
        <v>8.918005071851226E-2</v>
      </c>
      <c r="L20" s="3">
        <v>2.6683608640406607E-2</v>
      </c>
      <c r="M20" s="6">
        <v>0.15141290594685786</v>
      </c>
    </row>
    <row r="21" spans="1:13" x14ac:dyDescent="0.45">
      <c r="A21" s="37" t="s">
        <v>80</v>
      </c>
      <c r="B21" s="25">
        <v>4.5392659753755123E-2</v>
      </c>
      <c r="C21" s="3">
        <v>2.1912262297019758E-2</v>
      </c>
      <c r="D21" s="6">
        <v>6.8693000205272581E-2</v>
      </c>
      <c r="E21" s="23">
        <v>5.8324496288441142E-2</v>
      </c>
      <c r="F21" s="3">
        <v>3.4632034632034632E-2</v>
      </c>
      <c r="G21" s="20">
        <v>8.1081081081081086E-2</v>
      </c>
      <c r="H21" s="25">
        <v>2.9288702928870293E-2</v>
      </c>
      <c r="I21" s="3">
        <v>1.832460732984293E-2</v>
      </c>
      <c r="J21" s="6">
        <v>4.1791044776119404E-2</v>
      </c>
      <c r="K21" s="23">
        <v>4.9873203719357564E-2</v>
      </c>
      <c r="L21" s="3">
        <v>3.0495552731893267E-2</v>
      </c>
      <c r="M21" s="6">
        <v>6.9169126950653734E-2</v>
      </c>
    </row>
    <row r="22" spans="1:13" x14ac:dyDescent="0.45">
      <c r="A22" s="37" t="s">
        <v>81</v>
      </c>
      <c r="B22" s="25">
        <v>3.6642356179303948E-2</v>
      </c>
      <c r="C22" s="3">
        <v>2.740879741130927E-2</v>
      </c>
      <c r="D22" s="6">
        <v>4.5805108354593713E-2</v>
      </c>
      <c r="E22" s="23">
        <v>6.362672322375397E-2</v>
      </c>
      <c r="F22" s="3">
        <v>4.9783549783549784E-2</v>
      </c>
      <c r="G22" s="20">
        <v>7.6923076923076927E-2</v>
      </c>
      <c r="H22" s="25">
        <v>5.4393305439330547E-2</v>
      </c>
      <c r="I22" s="3">
        <v>3.9267015706806283E-2</v>
      </c>
      <c r="J22" s="6">
        <v>7.1641791044776124E-2</v>
      </c>
      <c r="K22" s="23">
        <v>4.3744716821639898E-2</v>
      </c>
      <c r="L22" s="3">
        <v>3.303684879288437E-2</v>
      </c>
      <c r="M22" s="6">
        <v>5.4407423028258121E-2</v>
      </c>
    </row>
    <row r="23" spans="1:13" x14ac:dyDescent="0.45">
      <c r="A23" s="37" t="s">
        <v>82</v>
      </c>
      <c r="B23" s="25">
        <v>3.6752746888821838E-2</v>
      </c>
      <c r="C23" s="3">
        <v>3.3791870447258385E-2</v>
      </c>
      <c r="D23" s="6">
        <v>3.9690918154892826E-2</v>
      </c>
      <c r="E23" s="23">
        <v>6.362672322375397E-2</v>
      </c>
      <c r="F23" s="3">
        <v>6.0606060606060608E-2</v>
      </c>
      <c r="G23" s="20">
        <v>6.6528066528066532E-2</v>
      </c>
      <c r="H23" s="25">
        <v>6.8340306834030681E-2</v>
      </c>
      <c r="I23" s="3">
        <v>3.6649214659685861E-2</v>
      </c>
      <c r="J23" s="6">
        <v>0.1044776119402985</v>
      </c>
      <c r="K23" s="23">
        <v>3.8038884192730348E-2</v>
      </c>
      <c r="L23" s="3">
        <v>3.303684879288437E-2</v>
      </c>
      <c r="M23" s="6">
        <v>4.3019822859552928E-2</v>
      </c>
    </row>
    <row r="24" spans="1:13" x14ac:dyDescent="0.45">
      <c r="A24" s="37" t="s">
        <v>83</v>
      </c>
      <c r="B24" s="25">
        <v>4.5598722411521846E-2</v>
      </c>
      <c r="C24" s="3">
        <v>4.3070967360628855E-2</v>
      </c>
      <c r="D24" s="6">
        <v>4.8107093633617794E-2</v>
      </c>
      <c r="E24" s="23">
        <v>6.5747613997879109E-2</v>
      </c>
      <c r="F24" s="3">
        <v>4.5454545454545456E-2</v>
      </c>
      <c r="G24" s="20">
        <v>8.5239085239085244E-2</v>
      </c>
      <c r="H24" s="25">
        <v>6.8340306834030681E-2</v>
      </c>
      <c r="I24" s="3">
        <v>6.0209424083769635E-2</v>
      </c>
      <c r="J24" s="6">
        <v>7.7611940298507459E-2</v>
      </c>
      <c r="K24" s="23">
        <v>4.6914623837700759E-2</v>
      </c>
      <c r="L24" s="3">
        <v>4.4049131723845829E-2</v>
      </c>
      <c r="M24" s="6">
        <v>4.976803036693378E-2</v>
      </c>
    </row>
    <row r="25" spans="1:13" x14ac:dyDescent="0.45">
      <c r="A25" s="37" t="s">
        <v>84</v>
      </c>
      <c r="B25" s="25">
        <v>4.3751517872255868E-2</v>
      </c>
      <c r="C25" s="3">
        <v>4.3721095169845889E-2</v>
      </c>
      <c r="D25" s="6">
        <v>4.3781707281311408E-2</v>
      </c>
      <c r="E25" s="23">
        <v>6.1505832449628844E-2</v>
      </c>
      <c r="F25" s="3">
        <v>6.9264069264069264E-2</v>
      </c>
      <c r="G25" s="20">
        <v>5.4054054054054057E-2</v>
      </c>
      <c r="H25" s="25">
        <v>7.252440725244072E-2</v>
      </c>
      <c r="I25" s="3">
        <v>6.0209424083769635E-2</v>
      </c>
      <c r="J25" s="6">
        <v>8.6567164179104483E-2</v>
      </c>
      <c r="K25" s="23">
        <v>4.5224006762468301E-2</v>
      </c>
      <c r="L25" s="3">
        <v>4.8284625158831002E-2</v>
      </c>
      <c r="M25" s="6">
        <v>4.2176296921130327E-2</v>
      </c>
    </row>
    <row r="26" spans="1:13" x14ac:dyDescent="0.45">
      <c r="A26" s="37" t="s">
        <v>85</v>
      </c>
      <c r="B26" s="25">
        <v>3.89679204598141E-2</v>
      </c>
      <c r="C26" s="3">
        <v>4.0810295660396879E-2</v>
      </c>
      <c r="D26" s="6">
        <v>3.7139673323362953E-2</v>
      </c>
      <c r="E26" s="23">
        <v>7.3170731707317069E-2</v>
      </c>
      <c r="F26" s="3">
        <v>7.1428571428571425E-2</v>
      </c>
      <c r="G26" s="20">
        <v>7.4844074844074848E-2</v>
      </c>
      <c r="H26" s="25">
        <v>6.6945606694560664E-2</v>
      </c>
      <c r="I26" s="3">
        <v>6.2827225130890049E-2</v>
      </c>
      <c r="J26" s="6">
        <v>7.1641791044776124E-2</v>
      </c>
      <c r="K26" s="23">
        <v>3.4657650042265425E-2</v>
      </c>
      <c r="L26" s="3">
        <v>3.2189750105887337E-2</v>
      </c>
      <c r="M26" s="6">
        <v>3.7115141290594685E-2</v>
      </c>
    </row>
    <row r="27" spans="1:13" x14ac:dyDescent="0.45">
      <c r="A27" s="37" t="s">
        <v>86</v>
      </c>
      <c r="B27" s="25">
        <v>4.8608709091042902E-2</v>
      </c>
      <c r="C27" s="3">
        <v>5.9117303742667583E-2</v>
      </c>
      <c r="D27" s="6">
        <v>3.8180698513240088E-2</v>
      </c>
      <c r="E27" s="23">
        <v>6.6808059384941679E-2</v>
      </c>
      <c r="F27" s="3">
        <v>8.2251082251082255E-2</v>
      </c>
      <c r="G27" s="20">
        <v>5.1975051975051978E-2</v>
      </c>
      <c r="H27" s="25">
        <v>7.8103207810320777E-2</v>
      </c>
      <c r="I27" s="3">
        <v>5.7591623036649213E-2</v>
      </c>
      <c r="J27" s="6">
        <v>0.10149253731343283</v>
      </c>
      <c r="K27" s="23">
        <v>4.5646661031276417E-2</v>
      </c>
      <c r="L27" s="3">
        <v>4.7861075815332485E-2</v>
      </c>
      <c r="M27" s="6">
        <v>4.3441585828764236E-2</v>
      </c>
    </row>
    <row r="28" spans="1:13" x14ac:dyDescent="0.45">
      <c r="A28" s="37" t="s">
        <v>87</v>
      </c>
      <c r="B28" s="25">
        <v>7.1665648619012229E-2</v>
      </c>
      <c r="C28" s="3">
        <v>9.2332924540847239E-2</v>
      </c>
      <c r="D28" s="6">
        <v>5.1156857570159239E-2</v>
      </c>
      <c r="E28" s="23">
        <v>6.1505832449628844E-2</v>
      </c>
      <c r="F28" s="3">
        <v>6.2770562770562768E-2</v>
      </c>
      <c r="G28" s="20">
        <v>6.0291060291060294E-2</v>
      </c>
      <c r="H28" s="25">
        <v>5.5788005578800558E-2</v>
      </c>
      <c r="I28" s="3">
        <v>5.7591623036649213E-2</v>
      </c>
      <c r="J28" s="6">
        <v>5.3731343283582089E-2</v>
      </c>
      <c r="K28" s="23">
        <v>5.5156382079459006E-2</v>
      </c>
      <c r="L28" s="3">
        <v>6.9885641677255403E-2</v>
      </c>
      <c r="M28" s="6">
        <v>4.048924504428511E-2</v>
      </c>
    </row>
    <row r="29" spans="1:13" x14ac:dyDescent="0.45">
      <c r="A29" s="37" t="s">
        <v>88</v>
      </c>
      <c r="B29" s="25">
        <v>9.4104400173681366E-2</v>
      </c>
      <c r="C29" s="3">
        <v>0.13063136275654191</v>
      </c>
      <c r="D29" s="6">
        <v>5.785754083457964E-2</v>
      </c>
      <c r="E29" s="23">
        <v>7.7412513255567333E-2</v>
      </c>
      <c r="F29" s="3">
        <v>7.792207792207792E-2</v>
      </c>
      <c r="G29" s="20">
        <v>7.6923076923076927E-2</v>
      </c>
      <c r="H29" s="25">
        <v>7.6708507670850773E-2</v>
      </c>
      <c r="I29" s="3">
        <v>7.8534031413612565E-2</v>
      </c>
      <c r="J29" s="6">
        <v>7.4626865671641784E-2</v>
      </c>
      <c r="K29" s="23">
        <v>8.6432797971259509E-2</v>
      </c>
      <c r="L29" s="3">
        <v>0.12452350698856417</v>
      </c>
      <c r="M29" s="6">
        <v>4.8502741459299871E-2</v>
      </c>
    </row>
    <row r="30" spans="1:13" x14ac:dyDescent="0.45">
      <c r="A30" s="37" t="s">
        <v>89</v>
      </c>
      <c r="B30" s="25">
        <v>9.0203928437382702E-2</v>
      </c>
      <c r="C30" s="3">
        <v>0.12093854814639696</v>
      </c>
      <c r="D30" s="6">
        <v>5.9704993988446101E-2</v>
      </c>
      <c r="E30" s="23">
        <v>6.7868504772004248E-2</v>
      </c>
      <c r="F30" s="3">
        <v>6.2770562770562768E-2</v>
      </c>
      <c r="G30" s="20">
        <v>7.2765072765072769E-2</v>
      </c>
      <c r="H30" s="25">
        <v>7.8103207810320777E-2</v>
      </c>
      <c r="I30" s="3">
        <v>9.1623036649214659E-2</v>
      </c>
      <c r="J30" s="6">
        <v>6.2686567164179099E-2</v>
      </c>
      <c r="K30" s="23">
        <v>8.60101437024514E-2</v>
      </c>
      <c r="L30" s="3">
        <v>0.13002964845404488</v>
      </c>
      <c r="M30" s="6">
        <v>4.2176296921130327E-2</v>
      </c>
    </row>
    <row r="31" spans="1:13" x14ac:dyDescent="0.45">
      <c r="A31" s="37" t="s">
        <v>90</v>
      </c>
      <c r="B31" s="25">
        <v>7.4219353699192664E-2</v>
      </c>
      <c r="C31" s="3">
        <v>9.4431064288774944E-2</v>
      </c>
      <c r="D31" s="6">
        <v>5.4162634526846727E-2</v>
      </c>
      <c r="E31" s="23">
        <v>5.4082714740190878E-2</v>
      </c>
      <c r="F31" s="3">
        <v>6.9264069264069264E-2</v>
      </c>
      <c r="G31" s="20">
        <v>3.9501039501039503E-2</v>
      </c>
      <c r="H31" s="25">
        <v>6.555090655509066E-2</v>
      </c>
      <c r="I31" s="3">
        <v>9.1623036649214659E-2</v>
      </c>
      <c r="J31" s="6">
        <v>3.5820895522388062E-2</v>
      </c>
      <c r="K31" s="23">
        <v>7.7979712595097214E-2</v>
      </c>
      <c r="L31" s="3">
        <v>0.11774671749258789</v>
      </c>
      <c r="M31" s="6">
        <v>3.8380430198228593E-2</v>
      </c>
    </row>
    <row r="32" spans="1:13" x14ac:dyDescent="0.45">
      <c r="A32" s="37" t="s">
        <v>91</v>
      </c>
      <c r="B32" s="25">
        <v>5.4047291379957466E-2</v>
      </c>
      <c r="C32" s="3">
        <v>7.7069696656274458E-2</v>
      </c>
      <c r="D32" s="6">
        <v>3.1201431043077921E-2</v>
      </c>
      <c r="E32" s="23">
        <v>4.3478260869565216E-2</v>
      </c>
      <c r="F32" s="3">
        <v>4.5454545454545456E-2</v>
      </c>
      <c r="G32" s="20">
        <v>4.1580041580041582E-2</v>
      </c>
      <c r="H32" s="25">
        <v>4.7419804741980473E-2</v>
      </c>
      <c r="I32" s="3">
        <v>4.9738219895287955E-2</v>
      </c>
      <c r="J32" s="6">
        <v>4.4776119402985072E-2</v>
      </c>
      <c r="K32" s="23">
        <v>5.0718512256973797E-2</v>
      </c>
      <c r="L32" s="3">
        <v>6.8614993646759853E-2</v>
      </c>
      <c r="M32" s="6">
        <v>3.289751159848165E-2</v>
      </c>
    </row>
    <row r="33" spans="1:13" x14ac:dyDescent="0.45">
      <c r="A33" s="37" t="s">
        <v>92</v>
      </c>
      <c r="B33" s="25">
        <v>4.0064468174358443E-2</v>
      </c>
      <c r="C33" s="3">
        <v>6.5116210345897541E-2</v>
      </c>
      <c r="D33" s="6">
        <v>1.5204832702853289E-2</v>
      </c>
      <c r="E33" s="23">
        <v>4.0296924708377521E-2</v>
      </c>
      <c r="F33" s="3">
        <v>4.3290043290043288E-2</v>
      </c>
      <c r="G33" s="20">
        <v>3.7422037422037424E-2</v>
      </c>
      <c r="H33" s="25">
        <v>4.3235704323570434E-2</v>
      </c>
      <c r="I33" s="3">
        <v>5.7591623036649213E-2</v>
      </c>
      <c r="J33" s="6">
        <v>2.6865671641791045E-2</v>
      </c>
      <c r="K33" s="23">
        <v>4.5224006762468301E-2</v>
      </c>
      <c r="L33" s="3">
        <v>7.4968233799237616E-2</v>
      </c>
      <c r="M33" s="6">
        <v>1.560522986081822E-2</v>
      </c>
    </row>
    <row r="34" spans="1:13" x14ac:dyDescent="0.45">
      <c r="A34" s="37" t="s">
        <v>93</v>
      </c>
      <c r="B34" s="25">
        <v>2.6272988865257099E-2</v>
      </c>
      <c r="C34" s="3">
        <v>3.658446490048612E-2</v>
      </c>
      <c r="D34" s="6">
        <v>1.6040585320078595E-2</v>
      </c>
      <c r="E34" s="23">
        <v>3.9236479321314952E-2</v>
      </c>
      <c r="F34" s="3">
        <v>4.7619047619047616E-2</v>
      </c>
      <c r="G34" s="20">
        <v>3.1185031185031187E-2</v>
      </c>
      <c r="H34" s="25">
        <v>3.9051603905160388E-2</v>
      </c>
      <c r="I34" s="3">
        <v>5.2356020942408377E-2</v>
      </c>
      <c r="J34" s="6">
        <v>2.3880597014925373E-2</v>
      </c>
      <c r="K34" s="23">
        <v>2.7261200338123414E-2</v>
      </c>
      <c r="L34" s="3">
        <v>4.2778483693350272E-2</v>
      </c>
      <c r="M34" s="6">
        <v>1.1809363137916491E-2</v>
      </c>
    </row>
    <row r="35" spans="1:13" ht="14.65" thickBot="1" x14ac:dyDescent="0.5">
      <c r="A35" s="38" t="s">
        <v>94</v>
      </c>
      <c r="B35" s="26">
        <v>1.4343432856690781E-2</v>
      </c>
      <c r="C35" s="8">
        <v>2.0877968055083556E-2</v>
      </c>
      <c r="D35" s="9">
        <v>7.8590070672414306E-3</v>
      </c>
      <c r="E35" s="24">
        <v>2.9692470837751856E-2</v>
      </c>
      <c r="F35" s="8">
        <v>4.3290043290043288E-2</v>
      </c>
      <c r="G35" s="21">
        <v>1.6632016632016633E-2</v>
      </c>
      <c r="H35" s="26">
        <v>1.2552301255230125E-2</v>
      </c>
      <c r="I35" s="8">
        <v>1.832460732984293E-2</v>
      </c>
      <c r="J35" s="9">
        <v>5.9701492537313433E-3</v>
      </c>
      <c r="K35" s="24">
        <v>1.3736263736263736E-2</v>
      </c>
      <c r="L35" s="8">
        <v>2.0753917831427361E-2</v>
      </c>
      <c r="M35" s="9">
        <v>6.7482075073808517E-3</v>
      </c>
    </row>
    <row r="36" spans="1:13" x14ac:dyDescent="0.45">
      <c r="B36" s="11">
        <f t="shared" ref="B36:M36" si="0">SUM(B12:B35)</f>
        <v>1</v>
      </c>
      <c r="C36" s="11">
        <f t="shared" si="0"/>
        <v>1</v>
      </c>
      <c r="D36" s="11">
        <f t="shared" si="0"/>
        <v>1.0000000000000002</v>
      </c>
      <c r="E36" s="11">
        <f t="shared" si="0"/>
        <v>0.99999999999999978</v>
      </c>
      <c r="F36" s="11">
        <f t="shared" si="0"/>
        <v>1.0000000000000002</v>
      </c>
      <c r="G36" s="11">
        <f t="shared" si="0"/>
        <v>1</v>
      </c>
      <c r="H36" s="11">
        <f t="shared" si="0"/>
        <v>1</v>
      </c>
      <c r="I36" s="11">
        <f t="shared" si="0"/>
        <v>1</v>
      </c>
      <c r="J36" s="11">
        <f t="shared" si="0"/>
        <v>0.99999999999999989</v>
      </c>
      <c r="K36" s="11">
        <f t="shared" si="0"/>
        <v>0.99999999999999989</v>
      </c>
      <c r="L36" s="11">
        <f t="shared" si="0"/>
        <v>1</v>
      </c>
      <c r="M36" s="11">
        <f t="shared" si="0"/>
        <v>1</v>
      </c>
    </row>
  </sheetData>
  <mergeCells count="30">
    <mergeCell ref="A1:M2"/>
    <mergeCell ref="B4:D4"/>
    <mergeCell ref="E4:G4"/>
    <mergeCell ref="H4:J4"/>
    <mergeCell ref="A3:M3"/>
    <mergeCell ref="B5:D5"/>
    <mergeCell ref="E5:G5"/>
    <mergeCell ref="H5:J5"/>
    <mergeCell ref="B7:D7"/>
    <mergeCell ref="E7:G7"/>
    <mergeCell ref="H7:J7"/>
    <mergeCell ref="E6:G6"/>
    <mergeCell ref="H6:J6"/>
    <mergeCell ref="B6:D6"/>
    <mergeCell ref="K6:M6"/>
    <mergeCell ref="K4:M4"/>
    <mergeCell ref="K5:M5"/>
    <mergeCell ref="K7:M7"/>
    <mergeCell ref="B10:D10"/>
    <mergeCell ref="E10:G10"/>
    <mergeCell ref="H10:J10"/>
    <mergeCell ref="K8:M8"/>
    <mergeCell ref="K9:M9"/>
    <mergeCell ref="K10:M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92A8-F615-4EBF-B3E3-E6B15F9D00C4}">
  <sheetPr>
    <tabColor rgb="FFFFFF00"/>
  </sheetPr>
  <dimension ref="A1:G36"/>
  <sheetViews>
    <sheetView workbookViewId="0">
      <selection activeCell="J26" sqref="J26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110" t="s">
        <v>70</v>
      </c>
      <c r="B1" s="111"/>
      <c r="C1" s="111"/>
      <c r="D1" s="111"/>
      <c r="E1" s="111"/>
      <c r="F1" s="111"/>
      <c r="G1" s="112"/>
    </row>
    <row r="2" spans="1:7" ht="15" customHeight="1" x14ac:dyDescent="0.45">
      <c r="A2" s="133"/>
      <c r="B2" s="134"/>
      <c r="C2" s="134"/>
      <c r="D2" s="134"/>
      <c r="E2" s="134"/>
      <c r="F2" s="134"/>
      <c r="G2" s="135"/>
    </row>
    <row r="3" spans="1:7" ht="14.65" thickBot="1" x14ac:dyDescent="0.5">
      <c r="A3" s="119" t="s">
        <v>157</v>
      </c>
      <c r="B3" s="120"/>
      <c r="C3" s="120"/>
      <c r="D3" s="120"/>
      <c r="E3" s="120"/>
      <c r="F3" s="120"/>
      <c r="G3" s="121"/>
    </row>
    <row r="4" spans="1:7" x14ac:dyDescent="0.45">
      <c r="A4" s="18" t="s">
        <v>68</v>
      </c>
      <c r="B4" s="102">
        <v>222</v>
      </c>
      <c r="C4" s="102"/>
      <c r="D4" s="103"/>
      <c r="E4" s="102">
        <v>222</v>
      </c>
      <c r="F4" s="102"/>
      <c r="G4" s="103"/>
    </row>
    <row r="5" spans="1:7" x14ac:dyDescent="0.45">
      <c r="A5" s="4" t="s">
        <v>0</v>
      </c>
      <c r="B5" s="88" t="s">
        <v>105</v>
      </c>
      <c r="C5" s="88"/>
      <c r="D5" s="89"/>
      <c r="E5" s="88" t="s">
        <v>105</v>
      </c>
      <c r="F5" s="88"/>
      <c r="G5" s="89"/>
    </row>
    <row r="6" spans="1:7" x14ac:dyDescent="0.45">
      <c r="A6" s="4" t="s">
        <v>98</v>
      </c>
      <c r="B6" s="104" t="s">
        <v>103</v>
      </c>
      <c r="C6" s="122"/>
      <c r="D6" s="123"/>
      <c r="E6" s="131" t="s">
        <v>103</v>
      </c>
      <c r="F6" s="122"/>
      <c r="G6" s="123"/>
    </row>
    <row r="7" spans="1:7" x14ac:dyDescent="0.45">
      <c r="A7" s="4" t="s">
        <v>54</v>
      </c>
      <c r="B7" s="104" t="s">
        <v>55</v>
      </c>
      <c r="C7" s="122"/>
      <c r="D7" s="123"/>
      <c r="E7" s="131" t="s">
        <v>56</v>
      </c>
      <c r="F7" s="122"/>
      <c r="G7" s="123"/>
    </row>
    <row r="8" spans="1:7" x14ac:dyDescent="0.45">
      <c r="A8" s="4" t="s">
        <v>59</v>
      </c>
      <c r="B8" s="88" t="s">
        <v>60</v>
      </c>
      <c r="C8" s="88"/>
      <c r="D8" s="89"/>
      <c r="E8" s="88" t="s">
        <v>60</v>
      </c>
      <c r="F8" s="88"/>
      <c r="G8" s="89"/>
    </row>
    <row r="9" spans="1:7" ht="14.65" thickBot="1" x14ac:dyDescent="0.5">
      <c r="A9" s="7" t="s">
        <v>64</v>
      </c>
      <c r="B9" s="91">
        <v>2</v>
      </c>
      <c r="C9" s="91"/>
      <c r="D9" s="92"/>
      <c r="E9" s="91">
        <v>8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43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>
        <v>1.1357391463638032E-2</v>
      </c>
      <c r="C12" s="3">
        <v>1.4043406894036114E-2</v>
      </c>
      <c r="D12" s="6">
        <v>8.6476540938362455E-3</v>
      </c>
      <c r="E12" s="23">
        <v>8.2272372110125478E-3</v>
      </c>
      <c r="F12" s="3">
        <v>1.3685876547807464E-2</v>
      </c>
      <c r="G12" s="6">
        <v>2.9048656499636883E-3</v>
      </c>
    </row>
    <row r="13" spans="1:7" x14ac:dyDescent="0.45">
      <c r="A13" s="37" t="s">
        <v>72</v>
      </c>
      <c r="B13" s="25">
        <v>8.7012273310130075E-3</v>
      </c>
      <c r="C13" s="3">
        <v>1.1125296370600038E-2</v>
      </c>
      <c r="D13" s="6">
        <v>6.2557497700091984E-3</v>
      </c>
      <c r="E13" s="23">
        <v>5.1477685342648342E-3</v>
      </c>
      <c r="F13" s="3">
        <v>6.7032864723954944E-3</v>
      </c>
      <c r="G13" s="6">
        <v>3.6310820624546104E-3</v>
      </c>
    </row>
    <row r="14" spans="1:7" x14ac:dyDescent="0.45">
      <c r="A14" s="37" t="s">
        <v>73</v>
      </c>
      <c r="B14" s="25">
        <v>7.0525737314526488E-3</v>
      </c>
      <c r="C14" s="3">
        <v>8.571949662593472E-3</v>
      </c>
      <c r="D14" s="6">
        <v>5.5197792088316454E-3</v>
      </c>
      <c r="E14" s="23">
        <v>6.1589373534954271E-3</v>
      </c>
      <c r="F14" s="3">
        <v>5.6791732613350725E-3</v>
      </c>
      <c r="G14" s="6">
        <v>6.6267247639796639E-3</v>
      </c>
    </row>
    <row r="15" spans="1:7" x14ac:dyDescent="0.45">
      <c r="A15" s="37" t="s">
        <v>74</v>
      </c>
      <c r="B15" s="25">
        <v>3.5720827990474448E-3</v>
      </c>
      <c r="C15" s="3">
        <v>4.5595476928688679E-3</v>
      </c>
      <c r="D15" s="6">
        <v>2.5758969641214344E-3</v>
      </c>
      <c r="E15" s="23">
        <v>1.13526681068162E-2</v>
      </c>
      <c r="F15" s="3">
        <v>4.2826552462526769E-3</v>
      </c>
      <c r="G15" s="6">
        <v>1.8246187363834415E-2</v>
      </c>
    </row>
    <row r="16" spans="1:7" x14ac:dyDescent="0.45">
      <c r="A16" s="37" t="s">
        <v>75</v>
      </c>
      <c r="B16" s="25">
        <v>5.8618794651035004E-3</v>
      </c>
      <c r="C16" s="3">
        <v>4.0124019697246041E-3</v>
      </c>
      <c r="D16" s="6">
        <v>7.7276908923643037E-3</v>
      </c>
      <c r="E16" s="23">
        <v>1.2271912487934918E-2</v>
      </c>
      <c r="F16" s="3">
        <v>5.8653756633460577E-3</v>
      </c>
      <c r="G16" s="6">
        <v>1.8518518518518514E-2</v>
      </c>
    </row>
    <row r="17" spans="1:7" x14ac:dyDescent="0.45">
      <c r="A17" s="37" t="s">
        <v>76</v>
      </c>
      <c r="B17" s="25">
        <v>1.1448983330280275E-2</v>
      </c>
      <c r="C17" s="3">
        <v>3.1004924311508301E-3</v>
      </c>
      <c r="D17" s="6">
        <v>1.9871205151793924E-2</v>
      </c>
      <c r="E17" s="23">
        <v>1.3007307992829897E-2</v>
      </c>
      <c r="F17" s="3">
        <v>4.2826552462526769E-3</v>
      </c>
      <c r="G17" s="6">
        <v>2.1514161220043564E-2</v>
      </c>
    </row>
    <row r="18" spans="1:7" x14ac:dyDescent="0.45">
      <c r="A18" s="37" t="s">
        <v>77</v>
      </c>
      <c r="B18" s="25">
        <v>3.2148745191427013E-2</v>
      </c>
      <c r="C18" s="3">
        <v>1.0760532555170527E-2</v>
      </c>
      <c r="D18" s="6">
        <v>5.3725850965961358E-2</v>
      </c>
      <c r="E18" s="23">
        <v>3.7689019625867543E-2</v>
      </c>
      <c r="F18" s="3">
        <v>1.0334233311609721E-2</v>
      </c>
      <c r="G18" s="6">
        <v>6.4360929557007965E-2</v>
      </c>
    </row>
    <row r="19" spans="1:7" x14ac:dyDescent="0.45">
      <c r="A19" s="37" t="s">
        <v>78</v>
      </c>
      <c r="B19" s="25">
        <v>6.6862062648836804E-2</v>
      </c>
      <c r="C19" s="3">
        <v>2.1521065110341058E-2</v>
      </c>
      <c r="D19" s="6">
        <v>0.11260349586016558</v>
      </c>
      <c r="E19" s="23">
        <v>8.6271085167991909E-2</v>
      </c>
      <c r="F19" s="3">
        <v>2.0482264221208454E-2</v>
      </c>
      <c r="G19" s="6">
        <v>0.15041757443718223</v>
      </c>
    </row>
    <row r="20" spans="1:7" x14ac:dyDescent="0.45">
      <c r="A20" s="37" t="s">
        <v>79</v>
      </c>
      <c r="B20" s="25">
        <v>7.7211943579410164E-2</v>
      </c>
      <c r="C20" s="3">
        <v>2.0609155571767283E-2</v>
      </c>
      <c r="D20" s="6">
        <v>0.13431462741490338</v>
      </c>
      <c r="E20" s="23">
        <v>8.75120650825022E-2</v>
      </c>
      <c r="F20" s="3">
        <v>2.4392514663439158E-2</v>
      </c>
      <c r="G20" s="6">
        <v>0.14905591866376175</v>
      </c>
    </row>
    <row r="21" spans="1:7" x14ac:dyDescent="0.45">
      <c r="A21" s="37" t="s">
        <v>80</v>
      </c>
      <c r="B21" s="25">
        <v>4.2407034255358134E-2</v>
      </c>
      <c r="C21" s="3">
        <v>1.9332482217764003E-2</v>
      </c>
      <c r="D21" s="6">
        <v>6.5685372585096574E-2</v>
      </c>
      <c r="E21" s="23">
        <v>5.1753458656983956E-2</v>
      </c>
      <c r="F21" s="3">
        <v>2.1878782236290851E-2</v>
      </c>
      <c r="G21" s="6">
        <v>8.0882352941176461E-2</v>
      </c>
    </row>
    <row r="22" spans="1:7" x14ac:dyDescent="0.45">
      <c r="A22" s="37" t="s">
        <v>81</v>
      </c>
      <c r="B22" s="25">
        <v>2.9126213592233014E-2</v>
      </c>
      <c r="C22" s="3">
        <v>2.0426773664052527E-2</v>
      </c>
      <c r="D22" s="6">
        <v>3.7902483900643963E-2</v>
      </c>
      <c r="E22" s="23">
        <v>3.2449326653490831E-2</v>
      </c>
      <c r="F22" s="3">
        <v>2.1599478633274369E-2</v>
      </c>
      <c r="G22" s="6">
        <v>4.3028322440087127E-2</v>
      </c>
    </row>
    <row r="23" spans="1:7" x14ac:dyDescent="0.45">
      <c r="A23" s="37" t="s">
        <v>82</v>
      </c>
      <c r="B23" s="25">
        <v>2.7935519325883867E-2</v>
      </c>
      <c r="C23" s="3">
        <v>2.5715848987780416E-2</v>
      </c>
      <c r="D23" s="6">
        <v>3.017479300827966E-2</v>
      </c>
      <c r="E23" s="23">
        <v>2.9921404605414356E-2</v>
      </c>
      <c r="F23" s="3">
        <v>2.4485615864444654E-2</v>
      </c>
      <c r="G23" s="6">
        <v>3.5221496005809726E-2</v>
      </c>
    </row>
    <row r="24" spans="1:7" x14ac:dyDescent="0.45">
      <c r="A24" s="37" t="s">
        <v>83</v>
      </c>
      <c r="B24" s="25">
        <v>2.8576662392379562E-2</v>
      </c>
      <c r="C24" s="3">
        <v>2.69925223417837E-2</v>
      </c>
      <c r="D24" s="6">
        <v>3.017479300827966E-2</v>
      </c>
      <c r="E24" s="23">
        <v>3.6034379739853843E-2</v>
      </c>
      <c r="F24" s="3">
        <v>3.4819849176054379E-2</v>
      </c>
      <c r="G24" s="6">
        <v>3.7218591140159761E-2</v>
      </c>
    </row>
    <row r="25" spans="1:7" x14ac:dyDescent="0.45">
      <c r="A25" s="37" t="s">
        <v>84</v>
      </c>
      <c r="B25" s="25">
        <v>4.2498626122000366E-2</v>
      </c>
      <c r="C25" s="3">
        <v>4.2494984497537844E-2</v>
      </c>
      <c r="D25" s="6">
        <v>4.2502299908003666E-2</v>
      </c>
      <c r="E25" s="23">
        <v>4.228524153146114E-2</v>
      </c>
      <c r="F25" s="3">
        <v>4.4595475281631138E-2</v>
      </c>
      <c r="G25" s="6">
        <v>4.0032679738562074E-2</v>
      </c>
    </row>
    <row r="26" spans="1:7" x14ac:dyDescent="0.45">
      <c r="A26" s="37" t="s">
        <v>85</v>
      </c>
      <c r="B26" s="25">
        <v>4.0117237589302079E-2</v>
      </c>
      <c r="C26" s="3">
        <v>4.5048331205544419E-2</v>
      </c>
      <c r="D26" s="6">
        <v>3.5142594296228145E-2</v>
      </c>
      <c r="E26" s="23">
        <v>4.1687732683733977E-2</v>
      </c>
      <c r="F26" s="3">
        <v>4.3292058467554233E-2</v>
      </c>
      <c r="G26" s="6">
        <v>4.0123456790123441E-2</v>
      </c>
    </row>
    <row r="27" spans="1:7" x14ac:dyDescent="0.45">
      <c r="A27" s="37" t="s">
        <v>86</v>
      </c>
      <c r="B27" s="25">
        <v>5.6054222385052227E-2</v>
      </c>
      <c r="C27" s="3">
        <v>6.0915557176728072E-2</v>
      </c>
      <c r="D27" s="6">
        <v>5.1149954001839922E-2</v>
      </c>
      <c r="E27" s="23">
        <v>4.7249161189502238E-2</v>
      </c>
      <c r="F27" s="3">
        <v>6.0143375849548458E-2</v>
      </c>
      <c r="G27" s="6">
        <v>3.4676833696441534E-2</v>
      </c>
    </row>
    <row r="28" spans="1:7" x14ac:dyDescent="0.45">
      <c r="A28" s="37" t="s">
        <v>87</v>
      </c>
      <c r="B28" s="25">
        <v>7.0342553581242001E-2</v>
      </c>
      <c r="C28" s="3">
        <v>9.1373335765092115E-2</v>
      </c>
      <c r="D28" s="6">
        <v>4.9126034958601641E-2</v>
      </c>
      <c r="E28" s="23">
        <v>6.3657673392471401E-2</v>
      </c>
      <c r="F28" s="3">
        <v>9.2635695000465521E-2</v>
      </c>
      <c r="G28" s="6">
        <v>3.5403050108932452E-2</v>
      </c>
    </row>
    <row r="29" spans="1:7" x14ac:dyDescent="0.45">
      <c r="A29" s="37" t="s">
        <v>88</v>
      </c>
      <c r="B29" s="25">
        <v>8.6462722110276627E-2</v>
      </c>
      <c r="C29" s="3">
        <v>0.11417107422943644</v>
      </c>
      <c r="D29" s="6">
        <v>5.8509659613615442E-2</v>
      </c>
      <c r="E29" s="23">
        <v>8.498414303442571E-2</v>
      </c>
      <c r="F29" s="3">
        <v>0.12512801415138256</v>
      </c>
      <c r="G29" s="6">
        <v>4.5842411038489454E-2</v>
      </c>
    </row>
    <row r="30" spans="1:7" x14ac:dyDescent="0.45">
      <c r="A30" s="37" t="s">
        <v>89</v>
      </c>
      <c r="B30" s="25">
        <v>9.3423703975087036E-2</v>
      </c>
      <c r="C30" s="3">
        <v>0.1216487324457414</v>
      </c>
      <c r="D30" s="6">
        <v>6.4949402023919023E-2</v>
      </c>
      <c r="E30" s="23">
        <v>8.9948062692466801E-2</v>
      </c>
      <c r="F30" s="3">
        <v>0.11870403128200355</v>
      </c>
      <c r="G30" s="6">
        <v>6.1909949164851111E-2</v>
      </c>
    </row>
    <row r="31" spans="1:7" x14ac:dyDescent="0.45">
      <c r="A31" s="37" t="s">
        <v>90</v>
      </c>
      <c r="B31" s="25">
        <v>8.1058801978384346E-2</v>
      </c>
      <c r="C31" s="3">
        <v>0.10341054167426593</v>
      </c>
      <c r="D31" s="6">
        <v>5.8509659613615442E-2</v>
      </c>
      <c r="E31" s="23">
        <v>7.0506044031805867E-2</v>
      </c>
      <c r="F31" s="3">
        <v>9.4032213015547914E-2</v>
      </c>
      <c r="G31" s="6">
        <v>4.7567175018155397E-2</v>
      </c>
    </row>
    <row r="32" spans="1:7" x14ac:dyDescent="0.45">
      <c r="A32" s="37" t="s">
        <v>91</v>
      </c>
      <c r="B32" s="25">
        <v>6.1274958783660016E-2</v>
      </c>
      <c r="C32" s="3">
        <v>7.6600401240196972E-2</v>
      </c>
      <c r="D32" s="6">
        <v>4.5814167433302654E-2</v>
      </c>
      <c r="E32" s="23">
        <v>5.2075194190375519E-2</v>
      </c>
      <c r="F32" s="3">
        <v>7.7273996834559169E-2</v>
      </c>
      <c r="G32" s="6">
        <v>2.7505446623093673E-2</v>
      </c>
    </row>
    <row r="33" spans="1:7" x14ac:dyDescent="0.45">
      <c r="A33" s="37" t="s">
        <v>92</v>
      </c>
      <c r="B33" s="25">
        <v>5.0192342919948715E-2</v>
      </c>
      <c r="C33" s="3">
        <v>6.4927959146452663E-2</v>
      </c>
      <c r="D33" s="6">
        <v>3.5326586936522533E-2</v>
      </c>
      <c r="E33" s="23">
        <v>4.2515052626740824E-2</v>
      </c>
      <c r="F33" s="3">
        <v>6.9360394749092266E-2</v>
      </c>
      <c r="G33" s="6">
        <v>1.6339869281045746E-2</v>
      </c>
    </row>
    <row r="34" spans="1:7" x14ac:dyDescent="0.45">
      <c r="A34" s="37" t="s">
        <v>93</v>
      </c>
      <c r="B34" s="25">
        <v>4.0117237589302086E-2</v>
      </c>
      <c r="C34" s="3">
        <v>5.4167426591282146E-2</v>
      </c>
      <c r="D34" s="6">
        <v>2.5942962281508733E-2</v>
      </c>
      <c r="E34" s="23">
        <v>2.9599669072022803E-2</v>
      </c>
      <c r="F34" s="3">
        <v>4.7760916115817904E-2</v>
      </c>
      <c r="G34" s="6">
        <v>1.1891793754538848E-2</v>
      </c>
    </row>
    <row r="35" spans="1:7" ht="14.65" thickBot="1" x14ac:dyDescent="0.5">
      <c r="A35" s="38" t="s">
        <v>94</v>
      </c>
      <c r="B35" s="26">
        <v>2.6195273859681269E-2</v>
      </c>
      <c r="C35" s="8">
        <v>3.4470180558088648E-2</v>
      </c>
      <c r="D35" s="9">
        <v>1.7847286108555654E-2</v>
      </c>
      <c r="E35" s="24">
        <v>1.7695454336535368E-2</v>
      </c>
      <c r="F35" s="8">
        <v>2.8582068708686348E-2</v>
      </c>
      <c r="G35" s="9">
        <v>7.0806100217864903E-3</v>
      </c>
    </row>
    <row r="36" spans="1:7" x14ac:dyDescent="0.45">
      <c r="B36" s="11">
        <f t="shared" ref="B36:G36" si="0">SUM(B12:B35)</f>
        <v>1</v>
      </c>
      <c r="C36" s="11">
        <f t="shared" si="0"/>
        <v>1</v>
      </c>
      <c r="D36" s="11">
        <f t="shared" si="0"/>
        <v>0.99999999999999989</v>
      </c>
      <c r="E36" s="11">
        <f t="shared" si="0"/>
        <v>1</v>
      </c>
      <c r="F36" s="11">
        <f t="shared" si="0"/>
        <v>1</v>
      </c>
      <c r="G36" s="11">
        <f t="shared" si="0"/>
        <v>0.99999999999999956</v>
      </c>
    </row>
  </sheetData>
  <mergeCells count="16">
    <mergeCell ref="B9:D9"/>
    <mergeCell ref="E9:G9"/>
    <mergeCell ref="B10:D10"/>
    <mergeCell ref="E10:G10"/>
    <mergeCell ref="B6:D6"/>
    <mergeCell ref="E6:G6"/>
    <mergeCell ref="B7:D7"/>
    <mergeCell ref="E7:G7"/>
    <mergeCell ref="B8:D8"/>
    <mergeCell ref="E8:G8"/>
    <mergeCell ref="B5:D5"/>
    <mergeCell ref="E5:G5"/>
    <mergeCell ref="A1:G2"/>
    <mergeCell ref="A3:G3"/>
    <mergeCell ref="B4:D4"/>
    <mergeCell ref="E4:G4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576C-B90E-427B-8599-2153481D7967}">
  <sheetPr>
    <tabColor rgb="FFFFFF00"/>
  </sheetPr>
  <dimension ref="A1:W36"/>
  <sheetViews>
    <sheetView workbookViewId="0">
      <selection sqref="A1:W2"/>
    </sheetView>
  </sheetViews>
  <sheetFormatPr defaultRowHeight="14.25" x14ac:dyDescent="0.45"/>
  <cols>
    <col min="1" max="1" width="17.796875" customWidth="1"/>
    <col min="2" max="23" width="17.796875" style="1" customWidth="1"/>
  </cols>
  <sheetData>
    <row r="1" spans="1:23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5"/>
    </row>
    <row r="2" spans="1:23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8"/>
    </row>
    <row r="3" spans="1:23" ht="14.65" thickBot="1" x14ac:dyDescent="0.5">
      <c r="A3" s="141" t="s">
        <v>157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3"/>
    </row>
    <row r="4" spans="1:23" x14ac:dyDescent="0.45">
      <c r="A4" s="60" t="s">
        <v>68</v>
      </c>
      <c r="B4" s="101">
        <v>223</v>
      </c>
      <c r="C4" s="102"/>
      <c r="D4" s="103"/>
      <c r="E4" s="102">
        <v>223</v>
      </c>
      <c r="F4" s="102"/>
      <c r="G4" s="103"/>
      <c r="H4" s="102">
        <v>223</v>
      </c>
      <c r="I4" s="102"/>
      <c r="J4" s="103"/>
      <c r="K4" s="60" t="s">
        <v>68</v>
      </c>
      <c r="L4" s="101">
        <v>223</v>
      </c>
      <c r="M4" s="102"/>
      <c r="N4" s="103"/>
      <c r="O4" s="102">
        <v>223</v>
      </c>
      <c r="P4" s="102"/>
      <c r="Q4" s="103"/>
      <c r="R4" s="102">
        <v>223</v>
      </c>
      <c r="S4" s="102"/>
      <c r="T4" s="103"/>
      <c r="U4" s="102">
        <v>223</v>
      </c>
      <c r="V4" s="102"/>
      <c r="W4" s="103"/>
    </row>
    <row r="5" spans="1:23" x14ac:dyDescent="0.45">
      <c r="A5" s="61" t="s">
        <v>0</v>
      </c>
      <c r="B5" s="87" t="s">
        <v>106</v>
      </c>
      <c r="C5" s="88"/>
      <c r="D5" s="89"/>
      <c r="E5" s="88" t="s">
        <v>106</v>
      </c>
      <c r="F5" s="88"/>
      <c r="G5" s="89"/>
      <c r="H5" s="88" t="s">
        <v>106</v>
      </c>
      <c r="I5" s="88"/>
      <c r="J5" s="89"/>
      <c r="K5" s="61" t="s">
        <v>0</v>
      </c>
      <c r="L5" s="87" t="s">
        <v>106</v>
      </c>
      <c r="M5" s="88"/>
      <c r="N5" s="89"/>
      <c r="O5" s="88" t="s">
        <v>106</v>
      </c>
      <c r="P5" s="88"/>
      <c r="Q5" s="89"/>
      <c r="R5" s="88" t="s">
        <v>106</v>
      </c>
      <c r="S5" s="88"/>
      <c r="T5" s="89"/>
      <c r="U5" s="88" t="s">
        <v>106</v>
      </c>
      <c r="V5" s="88"/>
      <c r="W5" s="89"/>
    </row>
    <row r="6" spans="1:23" x14ac:dyDescent="0.45">
      <c r="A6" s="61" t="s">
        <v>98</v>
      </c>
      <c r="B6" s="122" t="s">
        <v>107</v>
      </c>
      <c r="C6" s="122"/>
      <c r="D6" s="123"/>
      <c r="E6" s="104" t="s">
        <v>107</v>
      </c>
      <c r="F6" s="122"/>
      <c r="G6" s="123"/>
      <c r="H6" s="104" t="s">
        <v>107</v>
      </c>
      <c r="I6" s="122"/>
      <c r="J6" s="123"/>
      <c r="K6" s="61" t="s">
        <v>98</v>
      </c>
      <c r="L6" s="122" t="s">
        <v>107</v>
      </c>
      <c r="M6" s="122"/>
      <c r="N6" s="123"/>
      <c r="O6" s="104" t="s">
        <v>107</v>
      </c>
      <c r="P6" s="122"/>
      <c r="Q6" s="123"/>
      <c r="R6" s="104" t="s">
        <v>108</v>
      </c>
      <c r="S6" s="122"/>
      <c r="T6" s="123"/>
      <c r="U6" s="104" t="s">
        <v>109</v>
      </c>
      <c r="V6" s="122"/>
      <c r="W6" s="123"/>
    </row>
    <row r="7" spans="1:23" x14ac:dyDescent="0.45">
      <c r="A7" s="61" t="s">
        <v>54</v>
      </c>
      <c r="B7" s="87" t="s">
        <v>55</v>
      </c>
      <c r="C7" s="88"/>
      <c r="D7" s="89"/>
      <c r="E7" s="88" t="s">
        <v>55</v>
      </c>
      <c r="F7" s="88"/>
      <c r="G7" s="89"/>
      <c r="H7" s="88" t="s">
        <v>55</v>
      </c>
      <c r="I7" s="88"/>
      <c r="J7" s="89"/>
      <c r="K7" s="61" t="s">
        <v>54</v>
      </c>
      <c r="L7" s="87" t="s">
        <v>56</v>
      </c>
      <c r="M7" s="88"/>
      <c r="N7" s="89"/>
      <c r="O7" s="88" t="s">
        <v>57</v>
      </c>
      <c r="P7" s="88"/>
      <c r="Q7" s="89"/>
      <c r="R7" s="88" t="s">
        <v>56</v>
      </c>
      <c r="S7" s="88"/>
      <c r="T7" s="89"/>
      <c r="U7" s="88" t="s">
        <v>56</v>
      </c>
      <c r="V7" s="88"/>
      <c r="W7" s="89"/>
    </row>
    <row r="8" spans="1:23" x14ac:dyDescent="0.45">
      <c r="A8" s="61" t="s">
        <v>59</v>
      </c>
      <c r="B8" s="87" t="s">
        <v>60</v>
      </c>
      <c r="C8" s="88"/>
      <c r="D8" s="89"/>
      <c r="E8" s="88" t="s">
        <v>61</v>
      </c>
      <c r="F8" s="88"/>
      <c r="G8" s="89"/>
      <c r="H8" s="88" t="s">
        <v>63</v>
      </c>
      <c r="I8" s="88"/>
      <c r="J8" s="89"/>
      <c r="K8" s="61" t="s">
        <v>59</v>
      </c>
      <c r="L8" s="87" t="s">
        <v>60</v>
      </c>
      <c r="M8" s="88"/>
      <c r="N8" s="89"/>
      <c r="O8" s="88" t="s">
        <v>60</v>
      </c>
      <c r="P8" s="88"/>
      <c r="Q8" s="89"/>
      <c r="R8" s="88" t="s">
        <v>60</v>
      </c>
      <c r="S8" s="88"/>
      <c r="T8" s="89"/>
      <c r="U8" s="88" t="s">
        <v>60</v>
      </c>
      <c r="V8" s="88"/>
      <c r="W8" s="89"/>
    </row>
    <row r="9" spans="1:23" ht="14.65" thickBot="1" x14ac:dyDescent="0.5">
      <c r="A9" s="71" t="s">
        <v>64</v>
      </c>
      <c r="B9" s="138">
        <v>2</v>
      </c>
      <c r="C9" s="139"/>
      <c r="D9" s="140"/>
      <c r="E9" s="139">
        <v>1</v>
      </c>
      <c r="F9" s="139"/>
      <c r="G9" s="140"/>
      <c r="H9" s="139">
        <v>1</v>
      </c>
      <c r="I9" s="139"/>
      <c r="J9" s="140"/>
      <c r="K9" s="71" t="s">
        <v>64</v>
      </c>
      <c r="L9" s="138">
        <v>5</v>
      </c>
      <c r="M9" s="139"/>
      <c r="N9" s="140"/>
      <c r="O9" s="139">
        <v>3</v>
      </c>
      <c r="P9" s="139"/>
      <c r="Q9" s="140"/>
      <c r="R9" s="139">
        <v>9</v>
      </c>
      <c r="S9" s="139"/>
      <c r="T9" s="140"/>
      <c r="U9" s="139">
        <v>3</v>
      </c>
      <c r="V9" s="139"/>
      <c r="W9" s="140"/>
    </row>
    <row r="10" spans="1:23" x14ac:dyDescent="0.45">
      <c r="A10" s="62"/>
      <c r="B10" s="101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62"/>
      <c r="L10" s="101" t="s">
        <v>134</v>
      </c>
      <c r="M10" s="102"/>
      <c r="N10" s="106"/>
      <c r="O10" s="108" t="s">
        <v>134</v>
      </c>
      <c r="P10" s="102"/>
      <c r="Q10" s="103"/>
      <c r="R10" s="101" t="s">
        <v>134</v>
      </c>
      <c r="S10" s="102"/>
      <c r="T10" s="106"/>
      <c r="U10" s="108" t="s">
        <v>134</v>
      </c>
      <c r="V10" s="102"/>
      <c r="W10" s="103"/>
    </row>
    <row r="11" spans="1:23" x14ac:dyDescent="0.45">
      <c r="A11" s="64" t="s">
        <v>65</v>
      </c>
      <c r="B11" s="22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64" t="s">
        <v>65</v>
      </c>
      <c r="L11" s="22" t="s">
        <v>95</v>
      </c>
      <c r="M11" s="2" t="s">
        <v>66</v>
      </c>
      <c r="N11" s="14" t="s">
        <v>67</v>
      </c>
      <c r="O11" s="10" t="s">
        <v>95</v>
      </c>
      <c r="P11" s="2" t="s">
        <v>66</v>
      </c>
      <c r="Q11" s="5" t="s">
        <v>67</v>
      </c>
      <c r="R11" s="22" t="s">
        <v>95</v>
      </c>
      <c r="S11" s="2" t="s">
        <v>66</v>
      </c>
      <c r="T11" s="14" t="s">
        <v>67</v>
      </c>
      <c r="U11" s="10" t="s">
        <v>95</v>
      </c>
      <c r="V11" s="2" t="s">
        <v>66</v>
      </c>
      <c r="W11" s="5" t="s">
        <v>67</v>
      </c>
    </row>
    <row r="12" spans="1:23" x14ac:dyDescent="0.45">
      <c r="A12" s="61"/>
      <c r="B12" s="45"/>
      <c r="C12" s="32"/>
      <c r="D12" s="34"/>
      <c r="E12" s="45"/>
      <c r="F12" s="32"/>
      <c r="G12" s="49"/>
      <c r="H12" s="47"/>
      <c r="I12" s="32"/>
      <c r="J12" s="34"/>
      <c r="K12" s="61" t="s">
        <v>71</v>
      </c>
      <c r="L12" s="45">
        <v>4.859086491739553E-3</v>
      </c>
      <c r="M12" s="32">
        <v>9.5785440613026813E-3</v>
      </c>
      <c r="N12" s="49">
        <v>0</v>
      </c>
      <c r="O12" s="47">
        <v>1.3245033112582781E-2</v>
      </c>
      <c r="P12" s="32">
        <v>2.6315789473684209E-2</v>
      </c>
      <c r="Q12" s="34">
        <v>0</v>
      </c>
      <c r="R12" s="45">
        <v>2.2744503411675512E-3</v>
      </c>
      <c r="S12" s="32">
        <v>3.0303030303030303E-3</v>
      </c>
      <c r="T12" s="49">
        <v>1.5174506828528073E-3</v>
      </c>
      <c r="U12" s="47">
        <v>1.11731843575419E-2</v>
      </c>
      <c r="V12" s="32">
        <v>1.098901098901099E-2</v>
      </c>
      <c r="W12" s="34">
        <v>1.1363636363636364E-2</v>
      </c>
    </row>
    <row r="13" spans="1:23" x14ac:dyDescent="0.45">
      <c r="A13" s="61"/>
      <c r="B13" s="45"/>
      <c r="C13" s="32"/>
      <c r="D13" s="34"/>
      <c r="E13" s="45"/>
      <c r="F13" s="32"/>
      <c r="G13" s="49"/>
      <c r="H13" s="47"/>
      <c r="I13" s="32"/>
      <c r="J13" s="34"/>
      <c r="K13" s="61" t="s">
        <v>72</v>
      </c>
      <c r="L13" s="45">
        <v>5.8309037900874635E-3</v>
      </c>
      <c r="M13" s="32">
        <v>1.1494252873563218E-2</v>
      </c>
      <c r="N13" s="49">
        <v>0</v>
      </c>
      <c r="O13" s="47">
        <v>2.2075055187637969E-3</v>
      </c>
      <c r="P13" s="32">
        <v>4.3859649122807015E-3</v>
      </c>
      <c r="Q13" s="34">
        <v>0</v>
      </c>
      <c r="R13" s="45">
        <v>6.8233510235026539E-3</v>
      </c>
      <c r="S13" s="32">
        <v>7.575757575757576E-3</v>
      </c>
      <c r="T13" s="49">
        <v>6.0698027314112293E-3</v>
      </c>
      <c r="U13" s="47">
        <v>0</v>
      </c>
      <c r="V13" s="32">
        <v>0</v>
      </c>
      <c r="W13" s="34">
        <v>0</v>
      </c>
    </row>
    <row r="14" spans="1:23" x14ac:dyDescent="0.45">
      <c r="A14" s="61" t="s">
        <v>203</v>
      </c>
      <c r="B14" s="45">
        <v>7.192128696544401E-3</v>
      </c>
      <c r="C14" s="32">
        <v>6.7428182534565494E-3</v>
      </c>
      <c r="D14" s="34">
        <v>6.8042010502626007E-3</v>
      </c>
      <c r="E14" s="45">
        <v>3.125E-2</v>
      </c>
      <c r="F14" s="32">
        <v>2.7629629629629601E-2</v>
      </c>
      <c r="G14" s="49">
        <v>3.3149171270718231E-2</v>
      </c>
      <c r="H14" s="47">
        <v>2.4533996683250403E-2</v>
      </c>
      <c r="I14" s="32">
        <v>1.9108280254777069E-2</v>
      </c>
      <c r="J14" s="34">
        <v>3.1602076124567495E-2</v>
      </c>
      <c r="K14" s="61" t="s">
        <v>73</v>
      </c>
      <c r="L14" s="45">
        <v>2.9154518950437317E-3</v>
      </c>
      <c r="M14" s="32">
        <v>3.8314176245210726E-3</v>
      </c>
      <c r="N14" s="49">
        <v>1.9723865877712033E-3</v>
      </c>
      <c r="O14" s="47">
        <v>8.8300220750551876E-3</v>
      </c>
      <c r="P14" s="32">
        <v>8.771929824561403E-3</v>
      </c>
      <c r="Q14" s="34">
        <v>8.8888888888888889E-3</v>
      </c>
      <c r="R14" s="45">
        <v>0</v>
      </c>
      <c r="S14" s="32">
        <v>0</v>
      </c>
      <c r="T14" s="49">
        <v>0</v>
      </c>
      <c r="U14" s="47">
        <v>5.5865921787709499E-3</v>
      </c>
      <c r="V14" s="32">
        <v>1.098901098901099E-2</v>
      </c>
      <c r="W14" s="34">
        <v>0</v>
      </c>
    </row>
    <row r="15" spans="1:23" x14ac:dyDescent="0.45">
      <c r="A15" s="61"/>
      <c r="B15" s="45"/>
      <c r="C15" s="32"/>
      <c r="D15" s="34"/>
      <c r="E15" s="45"/>
      <c r="F15" s="32"/>
      <c r="G15" s="49"/>
      <c r="H15" s="47"/>
      <c r="I15" s="32"/>
      <c r="J15" s="34"/>
      <c r="K15" s="61" t="s">
        <v>74</v>
      </c>
      <c r="L15" s="45">
        <v>3.8872691933916422E-3</v>
      </c>
      <c r="M15" s="32">
        <v>3.8314176245210726E-3</v>
      </c>
      <c r="N15" s="49">
        <v>3.9447731755424065E-3</v>
      </c>
      <c r="O15" s="47">
        <v>2.2075055187637969E-3</v>
      </c>
      <c r="P15" s="32">
        <v>4.3859649122807015E-3</v>
      </c>
      <c r="Q15" s="34">
        <v>0</v>
      </c>
      <c r="R15" s="45">
        <v>3.7907505686125853E-3</v>
      </c>
      <c r="S15" s="32">
        <v>3.0303030303030303E-3</v>
      </c>
      <c r="T15" s="49">
        <v>4.552352048558422E-3</v>
      </c>
      <c r="U15" s="47">
        <v>5.5865921787709499E-3</v>
      </c>
      <c r="V15" s="32">
        <v>0</v>
      </c>
      <c r="W15" s="34">
        <v>1.1363636363636364E-2</v>
      </c>
    </row>
    <row r="16" spans="1:23" x14ac:dyDescent="0.45">
      <c r="A16" s="61"/>
      <c r="B16" s="45"/>
      <c r="C16" s="32"/>
      <c r="D16" s="34"/>
      <c r="E16" s="45"/>
      <c r="F16" s="32"/>
      <c r="G16" s="49"/>
      <c r="H16" s="47"/>
      <c r="I16" s="32"/>
      <c r="J16" s="34"/>
      <c r="K16" s="61" t="s">
        <v>75</v>
      </c>
      <c r="L16" s="45">
        <v>6.8027210884353739E-3</v>
      </c>
      <c r="M16" s="32">
        <v>5.7471264367816091E-3</v>
      </c>
      <c r="N16" s="49">
        <v>7.889546351084813E-3</v>
      </c>
      <c r="O16" s="47">
        <v>1.1037527593818985E-2</v>
      </c>
      <c r="P16" s="32">
        <v>4.3859649122807015E-3</v>
      </c>
      <c r="Q16" s="34">
        <v>1.7777777777777778E-2</v>
      </c>
      <c r="R16" s="45">
        <v>4.5489006823351023E-3</v>
      </c>
      <c r="S16" s="32">
        <v>1.5151515151515152E-3</v>
      </c>
      <c r="T16" s="49">
        <v>7.5872534142640367E-3</v>
      </c>
      <c r="U16" s="47">
        <v>1.11731843575419E-2</v>
      </c>
      <c r="V16" s="32">
        <v>1.098901098901099E-2</v>
      </c>
      <c r="W16" s="34">
        <v>1.1363636363636364E-2</v>
      </c>
    </row>
    <row r="17" spans="1:23" x14ac:dyDescent="0.45">
      <c r="A17" s="61" t="s">
        <v>76</v>
      </c>
      <c r="B17" s="45">
        <v>2.0154641064165049E-2</v>
      </c>
      <c r="C17" s="32">
        <v>7.8802206461780922E-3</v>
      </c>
      <c r="D17" s="34">
        <v>3.3008252063015747E-2</v>
      </c>
      <c r="E17" s="45">
        <v>2.0833333333333332E-2</v>
      </c>
      <c r="F17" s="32">
        <v>4.9382716049382715E-3</v>
      </c>
      <c r="G17" s="49">
        <v>3.8674033149171269E-2</v>
      </c>
      <c r="H17" s="47">
        <v>1.658374792703151E-2</v>
      </c>
      <c r="I17" s="32">
        <v>0</v>
      </c>
      <c r="J17" s="34">
        <v>3.4602076124567477E-2</v>
      </c>
      <c r="K17" s="61" t="s">
        <v>76</v>
      </c>
      <c r="L17" s="45">
        <v>2.2351797862001945E-2</v>
      </c>
      <c r="M17" s="32">
        <v>2.1072796934865901E-2</v>
      </c>
      <c r="N17" s="49">
        <v>2.3668639053254437E-2</v>
      </c>
      <c r="O17" s="47">
        <v>1.7660044150110375E-2</v>
      </c>
      <c r="P17" s="32">
        <v>4.3859649122807015E-3</v>
      </c>
      <c r="Q17" s="34">
        <v>3.111111111111111E-2</v>
      </c>
      <c r="R17" s="45">
        <v>1.7437452615617893E-2</v>
      </c>
      <c r="S17" s="32">
        <v>9.0909090909090905E-3</v>
      </c>
      <c r="T17" s="49">
        <v>2.5796661608497723E-2</v>
      </c>
      <c r="U17" s="47">
        <v>5.5865921787709499E-3</v>
      </c>
      <c r="V17" s="32">
        <v>1.098901098901099E-2</v>
      </c>
      <c r="W17" s="34">
        <v>0</v>
      </c>
    </row>
    <row r="18" spans="1:23" x14ac:dyDescent="0.45">
      <c r="A18" s="61" t="s">
        <v>77</v>
      </c>
      <c r="B18" s="45">
        <v>4.9104034592693024E-2</v>
      </c>
      <c r="C18" s="32">
        <v>1.1462139121713589E-2</v>
      </c>
      <c r="D18" s="34">
        <v>8.8522130532633136E-2</v>
      </c>
      <c r="E18" s="45">
        <v>2.8645833333333332E-2</v>
      </c>
      <c r="F18" s="32">
        <v>9.876543209876543E-3</v>
      </c>
      <c r="G18" s="49">
        <v>4.9723756906077346E-2</v>
      </c>
      <c r="H18" s="47">
        <v>6.6334991708126038E-3</v>
      </c>
      <c r="I18" s="32">
        <v>6.369426751592357E-3</v>
      </c>
      <c r="J18" s="34">
        <v>6.920415224913495E-3</v>
      </c>
      <c r="K18" s="61" t="s">
        <v>77</v>
      </c>
      <c r="L18" s="45">
        <v>5.0534499514091349E-2</v>
      </c>
      <c r="M18" s="32">
        <v>3.8314176245210725E-2</v>
      </c>
      <c r="N18" s="49">
        <v>6.3116370808678504E-2</v>
      </c>
      <c r="O18" s="47">
        <v>4.856512141280353E-2</v>
      </c>
      <c r="P18" s="32">
        <v>1.7543859649122806E-2</v>
      </c>
      <c r="Q18" s="34">
        <v>0.08</v>
      </c>
      <c r="R18" s="45">
        <v>3.1084154662623199E-2</v>
      </c>
      <c r="S18" s="32">
        <v>1.8181818181818181E-2</v>
      </c>
      <c r="T18" s="49">
        <v>4.4006069802731411E-2</v>
      </c>
      <c r="U18" s="47">
        <v>5.027932960893855E-2</v>
      </c>
      <c r="V18" s="32">
        <v>6.5934065934065936E-2</v>
      </c>
      <c r="W18" s="34">
        <v>3.4090909090909088E-2</v>
      </c>
    </row>
    <row r="19" spans="1:23" x14ac:dyDescent="0.45">
      <c r="A19" s="61" t="s">
        <v>78</v>
      </c>
      <c r="B19" s="45">
        <v>7.7686980101872541E-2</v>
      </c>
      <c r="C19" s="32">
        <v>3.3670033670033669E-2</v>
      </c>
      <c r="D19" s="34">
        <v>0.12378094523630906</v>
      </c>
      <c r="E19" s="45">
        <v>2.6041666666666668E-2</v>
      </c>
      <c r="F19" s="32">
        <v>9.876543209876543E-3</v>
      </c>
      <c r="G19" s="49">
        <v>4.4198895027624308E-2</v>
      </c>
      <c r="H19" s="47">
        <v>1.658374792703151E-2</v>
      </c>
      <c r="I19" s="32">
        <v>0</v>
      </c>
      <c r="J19" s="34">
        <v>3.4602076124567477E-2</v>
      </c>
      <c r="K19" s="61" t="s">
        <v>78</v>
      </c>
      <c r="L19" s="45">
        <v>0.1185617103984451</v>
      </c>
      <c r="M19" s="32">
        <v>6.3218390804597707E-2</v>
      </c>
      <c r="N19" s="49">
        <v>0.17554240631163709</v>
      </c>
      <c r="O19" s="47">
        <v>8.6092715231788075E-2</v>
      </c>
      <c r="P19" s="32">
        <v>5.2631578947368418E-2</v>
      </c>
      <c r="Q19" s="34">
        <v>0.12</v>
      </c>
      <c r="R19" s="45">
        <v>5.0037907505686124E-2</v>
      </c>
      <c r="S19" s="32">
        <v>3.4848484848484851E-2</v>
      </c>
      <c r="T19" s="49">
        <v>6.525037936267071E-2</v>
      </c>
      <c r="U19" s="47">
        <v>8.9385474860335198E-2</v>
      </c>
      <c r="V19" s="32">
        <v>0.12087912087912088</v>
      </c>
      <c r="W19" s="34">
        <v>5.6818181818181816E-2</v>
      </c>
    </row>
    <row r="20" spans="1:23" x14ac:dyDescent="0.45">
      <c r="A20" s="61" t="s">
        <v>79</v>
      </c>
      <c r="B20" s="45">
        <v>5.34281212210048E-2</v>
      </c>
      <c r="C20" s="32">
        <v>4.8140984311197073E-2</v>
      </c>
      <c r="D20" s="34">
        <v>5.8964741185296307E-2</v>
      </c>
      <c r="E20" s="45">
        <v>2.8645833333333332E-2</v>
      </c>
      <c r="F20" s="32">
        <v>2.4691358024691357E-2</v>
      </c>
      <c r="G20" s="49">
        <v>3.3149171270718231E-2</v>
      </c>
      <c r="H20" s="47">
        <v>2.3217247097844111E-2</v>
      </c>
      <c r="I20" s="32">
        <v>6.369426751592357E-3</v>
      </c>
      <c r="J20" s="34">
        <v>4.1522491349480967E-2</v>
      </c>
      <c r="K20" s="61" t="s">
        <v>79</v>
      </c>
      <c r="L20" s="45">
        <v>6.2196307094266275E-2</v>
      </c>
      <c r="M20" s="32">
        <v>4.5977011494252873E-2</v>
      </c>
      <c r="N20" s="49">
        <v>7.8895463510848127E-2</v>
      </c>
      <c r="O20" s="47">
        <v>7.505518763796909E-2</v>
      </c>
      <c r="P20" s="32">
        <v>4.8245614035087717E-2</v>
      </c>
      <c r="Q20" s="34">
        <v>0.10222222222222223</v>
      </c>
      <c r="R20" s="45">
        <v>3.9423805913570885E-2</v>
      </c>
      <c r="S20" s="32">
        <v>2.1212121212121213E-2</v>
      </c>
      <c r="T20" s="49">
        <v>5.7663125948406675E-2</v>
      </c>
      <c r="U20" s="47">
        <v>5.5865921787709494E-2</v>
      </c>
      <c r="V20" s="32">
        <v>6.5934065934065936E-2</v>
      </c>
      <c r="W20" s="34">
        <v>4.5454545454545456E-2</v>
      </c>
    </row>
    <row r="21" spans="1:23" x14ac:dyDescent="0.45">
      <c r="A21" s="61" t="s">
        <v>80</v>
      </c>
      <c r="B21" s="45">
        <v>3.7231118765803074E-2</v>
      </c>
      <c r="C21" s="32">
        <v>2.464359911168422E-2</v>
      </c>
      <c r="D21" s="34">
        <v>5.0412603150787688E-2</v>
      </c>
      <c r="E21" s="45">
        <v>2.6041666666666668E-2</v>
      </c>
      <c r="F21" s="32">
        <v>2.4691358024691357E-2</v>
      </c>
      <c r="G21" s="49">
        <v>2.7624309392265192E-2</v>
      </c>
      <c r="H21" s="47">
        <v>3.9800995024875621E-2</v>
      </c>
      <c r="I21" s="32">
        <v>3.1847133757961783E-2</v>
      </c>
      <c r="J21" s="34">
        <v>4.8442906574394463E-2</v>
      </c>
      <c r="K21" s="61" t="s">
        <v>80</v>
      </c>
      <c r="L21" s="45">
        <v>3.7900874635568516E-2</v>
      </c>
      <c r="M21" s="32">
        <v>3.2567049808429116E-2</v>
      </c>
      <c r="N21" s="49">
        <v>4.3392504930966469E-2</v>
      </c>
      <c r="O21" s="47">
        <v>5.2980132450331126E-2</v>
      </c>
      <c r="P21" s="32">
        <v>5.701754385964912E-2</v>
      </c>
      <c r="Q21" s="34">
        <v>4.8888888888888891E-2</v>
      </c>
      <c r="R21" s="45">
        <v>5.1554207733131158E-2</v>
      </c>
      <c r="S21" s="32">
        <v>3.787878787878788E-2</v>
      </c>
      <c r="T21" s="49">
        <v>6.525037936267071E-2</v>
      </c>
      <c r="U21" s="47">
        <v>4.4692737430167599E-2</v>
      </c>
      <c r="V21" s="32">
        <v>6.5934065934065936E-2</v>
      </c>
      <c r="W21" s="34">
        <v>2.2727272727272728E-2</v>
      </c>
    </row>
    <row r="22" spans="1:23" x14ac:dyDescent="0.45">
      <c r="A22" s="61" t="s">
        <v>81</v>
      </c>
      <c r="B22" s="45">
        <v>3.4006376195536661E-2</v>
      </c>
      <c r="C22" s="32">
        <v>3.0374668672541009E-2</v>
      </c>
      <c r="D22" s="34">
        <v>3.7809452363090773E-2</v>
      </c>
      <c r="E22" s="45">
        <v>4.1666666666666664E-2</v>
      </c>
      <c r="F22" s="32">
        <v>4.9382716049382713E-2</v>
      </c>
      <c r="G22" s="49">
        <v>3.3149171270718231E-2</v>
      </c>
      <c r="H22" s="47">
        <v>7.2968490878938641E-2</v>
      </c>
      <c r="I22" s="32">
        <v>6.3694267515923567E-2</v>
      </c>
      <c r="J22" s="34">
        <v>8.3044982698961933E-2</v>
      </c>
      <c r="K22" s="61" t="s">
        <v>81</v>
      </c>
      <c r="L22" s="45">
        <v>3.4013605442176874E-2</v>
      </c>
      <c r="M22" s="32">
        <v>4.0229885057471264E-2</v>
      </c>
      <c r="N22" s="49">
        <v>2.7613412228796843E-2</v>
      </c>
      <c r="O22" s="47">
        <v>3.5320088300220751E-2</v>
      </c>
      <c r="P22" s="32">
        <v>2.1929824561403508E-2</v>
      </c>
      <c r="Q22" s="34">
        <v>4.8888888888888891E-2</v>
      </c>
      <c r="R22" s="45">
        <v>7.2782410917361637E-2</v>
      </c>
      <c r="S22" s="32">
        <v>0.05</v>
      </c>
      <c r="T22" s="49">
        <v>9.5599393019726864E-2</v>
      </c>
      <c r="U22" s="47">
        <v>2.7932960893854747E-2</v>
      </c>
      <c r="V22" s="32">
        <v>3.2967032967032968E-2</v>
      </c>
      <c r="W22" s="34">
        <v>2.2727272727272728E-2</v>
      </c>
    </row>
    <row r="23" spans="1:23" x14ac:dyDescent="0.45">
      <c r="A23" s="61" t="s">
        <v>82</v>
      </c>
      <c r="B23" s="45">
        <v>3.9869544505111952E-2</v>
      </c>
      <c r="C23" s="32">
        <v>3.2667096496883728E-2</v>
      </c>
      <c r="D23" s="34">
        <v>4.7411852963240804E-2</v>
      </c>
      <c r="E23" s="45">
        <v>3.6458333333333336E-2</v>
      </c>
      <c r="F23" s="32">
        <v>1.4814814814814815E-2</v>
      </c>
      <c r="G23" s="49">
        <v>6.0773480662983423E-2</v>
      </c>
      <c r="H23" s="47">
        <v>6.3018242122719739E-2</v>
      </c>
      <c r="I23" s="32">
        <v>5.7324840764331211E-2</v>
      </c>
      <c r="J23" s="34">
        <v>6.9204152249134954E-2</v>
      </c>
      <c r="K23" s="61" t="s">
        <v>82</v>
      </c>
      <c r="L23" s="45">
        <v>3.4013605442176874E-2</v>
      </c>
      <c r="M23" s="32">
        <v>2.8735632183908046E-2</v>
      </c>
      <c r="N23" s="49">
        <v>3.9447731755424063E-2</v>
      </c>
      <c r="O23" s="47">
        <v>3.3112582781456956E-2</v>
      </c>
      <c r="P23" s="32">
        <v>3.9473684210526314E-2</v>
      </c>
      <c r="Q23" s="34">
        <v>2.6666666666666668E-2</v>
      </c>
      <c r="R23" s="45">
        <v>6.974981046247157E-2</v>
      </c>
      <c r="S23" s="32">
        <v>6.0606060606060608E-2</v>
      </c>
      <c r="T23" s="49">
        <v>7.8907435508345974E-2</v>
      </c>
      <c r="U23" s="47">
        <v>6.1452513966480445E-2</v>
      </c>
      <c r="V23" s="32">
        <v>3.2967032967032968E-2</v>
      </c>
      <c r="W23" s="34">
        <v>9.0909090909090912E-2</v>
      </c>
    </row>
    <row r="24" spans="1:23" x14ac:dyDescent="0.45">
      <c r="A24" s="61" t="s">
        <v>83</v>
      </c>
      <c r="B24" s="45">
        <v>5.4527465279050169E-2</v>
      </c>
      <c r="C24" s="32">
        <v>6.4187979081596111E-2</v>
      </c>
      <c r="D24" s="34">
        <v>4.441110277569392E-2</v>
      </c>
      <c r="E24" s="45">
        <v>4.9479166666666664E-2</v>
      </c>
      <c r="F24" s="32">
        <v>4.4444444444444446E-2</v>
      </c>
      <c r="G24" s="49">
        <v>5.5248618784530384E-2</v>
      </c>
      <c r="H24" s="47">
        <v>7.2968490878938641E-2</v>
      </c>
      <c r="I24" s="32">
        <v>7.0063694267515922E-2</v>
      </c>
      <c r="J24" s="34">
        <v>7.6124567474048443E-2</v>
      </c>
      <c r="K24" s="61" t="s">
        <v>83</v>
      </c>
      <c r="L24" s="45">
        <v>4.470359572400389E-2</v>
      </c>
      <c r="M24" s="32">
        <v>4.5977011494252873E-2</v>
      </c>
      <c r="N24" s="49">
        <v>4.3392504930966469E-2</v>
      </c>
      <c r="O24" s="47">
        <v>3.5320088300220751E-2</v>
      </c>
      <c r="P24" s="32">
        <v>4.3859649122807015E-2</v>
      </c>
      <c r="Q24" s="34">
        <v>2.6666666666666668E-2</v>
      </c>
      <c r="R24" s="45">
        <v>5.9893858984078847E-2</v>
      </c>
      <c r="S24" s="32">
        <v>6.6666666666666666E-2</v>
      </c>
      <c r="T24" s="49">
        <v>5.3110773899848251E-2</v>
      </c>
      <c r="U24" s="47">
        <v>6.1452513966480445E-2</v>
      </c>
      <c r="V24" s="32">
        <v>5.4945054945054944E-2</v>
      </c>
      <c r="W24" s="34">
        <v>6.8181818181818177E-2</v>
      </c>
    </row>
    <row r="25" spans="1:23" x14ac:dyDescent="0.45">
      <c r="A25" s="61" t="s">
        <v>84</v>
      </c>
      <c r="B25" s="45">
        <v>5.599325735644399E-2</v>
      </c>
      <c r="C25" s="32">
        <v>5.6737588652482268E-2</v>
      </c>
      <c r="D25" s="34">
        <v>5.52138034508627E-2</v>
      </c>
      <c r="E25" s="45">
        <v>6.25E-2</v>
      </c>
      <c r="F25" s="32">
        <v>5.9259259259259262E-2</v>
      </c>
      <c r="G25" s="49">
        <v>6.6298342541436461E-2</v>
      </c>
      <c r="H25" s="47">
        <v>6.3018242122719739E-2</v>
      </c>
      <c r="I25" s="32">
        <v>5.7324840764331211E-2</v>
      </c>
      <c r="J25" s="34">
        <v>6.9204152249134954E-2</v>
      </c>
      <c r="K25" s="61" t="s">
        <v>84</v>
      </c>
      <c r="L25" s="45">
        <v>4.1788143828960157E-2</v>
      </c>
      <c r="M25" s="32">
        <v>4.2145593869731802E-2</v>
      </c>
      <c r="N25" s="49">
        <v>4.142011834319527E-2</v>
      </c>
      <c r="O25" s="47">
        <v>5.2980132450331126E-2</v>
      </c>
      <c r="P25" s="32">
        <v>3.9473684210526314E-2</v>
      </c>
      <c r="Q25" s="34">
        <v>6.6666666666666666E-2</v>
      </c>
      <c r="R25" s="45">
        <v>7.7331311599696737E-2</v>
      </c>
      <c r="S25" s="32">
        <v>8.9393939393939401E-2</v>
      </c>
      <c r="T25" s="49">
        <v>6.525037936267071E-2</v>
      </c>
      <c r="U25" s="47">
        <v>2.7932960893854747E-2</v>
      </c>
      <c r="V25" s="32">
        <v>4.3956043956043959E-2</v>
      </c>
      <c r="W25" s="34">
        <v>1.1363636363636364E-2</v>
      </c>
    </row>
    <row r="26" spans="1:23" x14ac:dyDescent="0.45">
      <c r="A26" s="61" t="s">
        <v>85</v>
      </c>
      <c r="B26" s="45">
        <v>5.951115834218916E-2</v>
      </c>
      <c r="C26" s="32">
        <v>5.7310695608567948E-2</v>
      </c>
      <c r="D26" s="34">
        <v>6.1815453863465861E-2</v>
      </c>
      <c r="E26" s="45">
        <v>7.03125E-2</v>
      </c>
      <c r="F26" s="32">
        <v>0.1037037037037037</v>
      </c>
      <c r="G26" s="49">
        <v>3.3149171270718231E-2</v>
      </c>
      <c r="H26" s="47">
        <v>8.2918739635157543E-2</v>
      </c>
      <c r="I26" s="32">
        <v>7.6433121019108277E-2</v>
      </c>
      <c r="J26" s="34">
        <v>8.9965397923875437E-2</v>
      </c>
      <c r="K26" s="61" t="s">
        <v>85</v>
      </c>
      <c r="L26" s="45">
        <v>5.5393586005830907E-2</v>
      </c>
      <c r="M26" s="32">
        <v>6.7049808429118771E-2</v>
      </c>
      <c r="N26" s="49">
        <v>4.3392504930966469E-2</v>
      </c>
      <c r="O26" s="47">
        <v>4.4150110375275942E-2</v>
      </c>
      <c r="P26" s="32">
        <v>3.9473684210526314E-2</v>
      </c>
      <c r="Q26" s="34">
        <v>4.8888888888888891E-2</v>
      </c>
      <c r="R26" s="45">
        <v>6.747536012130402E-2</v>
      </c>
      <c r="S26" s="32">
        <v>7.2727272727272724E-2</v>
      </c>
      <c r="T26" s="49">
        <v>6.2215477996965099E-2</v>
      </c>
      <c r="U26" s="47">
        <v>6.1452513966480445E-2</v>
      </c>
      <c r="V26" s="32">
        <v>6.5934065934065936E-2</v>
      </c>
      <c r="W26" s="34">
        <v>5.6818181818181816E-2</v>
      </c>
    </row>
    <row r="27" spans="1:23" x14ac:dyDescent="0.45">
      <c r="A27" s="61" t="s">
        <v>86</v>
      </c>
      <c r="B27" s="45">
        <v>7.2703287038733549E-2</v>
      </c>
      <c r="C27" s="32">
        <v>8.4819829500680552E-2</v>
      </c>
      <c r="D27" s="34">
        <v>6.0015003750937726E-2</v>
      </c>
      <c r="E27" s="45">
        <v>9.375E-2</v>
      </c>
      <c r="F27" s="32">
        <v>0.1037037037037037</v>
      </c>
      <c r="G27" s="49">
        <v>8.2872928176795577E-2</v>
      </c>
      <c r="H27" s="47">
        <v>6.633499170812604E-2</v>
      </c>
      <c r="I27" s="32">
        <v>9.5541401273885357E-2</v>
      </c>
      <c r="J27" s="34">
        <v>3.4602076124567477E-2</v>
      </c>
      <c r="K27" s="61" t="s">
        <v>86</v>
      </c>
      <c r="L27" s="45">
        <v>5.5393586005830907E-2</v>
      </c>
      <c r="M27" s="32">
        <v>6.5134099616858232E-2</v>
      </c>
      <c r="N27" s="49">
        <v>4.5364891518737675E-2</v>
      </c>
      <c r="O27" s="47">
        <v>5.0772626931567331E-2</v>
      </c>
      <c r="P27" s="32">
        <v>6.1403508771929821E-2</v>
      </c>
      <c r="Q27" s="34">
        <v>0.04</v>
      </c>
      <c r="R27" s="45">
        <v>8.2638362395754353E-2</v>
      </c>
      <c r="S27" s="32">
        <v>7.8787878787878782E-2</v>
      </c>
      <c r="T27" s="49">
        <v>8.6494688922610016E-2</v>
      </c>
      <c r="U27" s="47">
        <v>6.7039106145251395E-2</v>
      </c>
      <c r="V27" s="32">
        <v>7.6923076923076927E-2</v>
      </c>
      <c r="W27" s="34">
        <v>5.6818181818181816E-2</v>
      </c>
    </row>
    <row r="28" spans="1:23" x14ac:dyDescent="0.45">
      <c r="A28" s="61" t="s">
        <v>87</v>
      </c>
      <c r="B28" s="45">
        <v>9.2638059291289515E-2</v>
      </c>
      <c r="C28" s="32">
        <v>0.11863313990973565</v>
      </c>
      <c r="D28" s="34">
        <v>6.5416354088522116E-2</v>
      </c>
      <c r="E28" s="45">
        <v>9.375E-2</v>
      </c>
      <c r="F28" s="32">
        <v>9.3827160493827166E-2</v>
      </c>
      <c r="G28" s="49">
        <v>9.3922651933701654E-2</v>
      </c>
      <c r="H28" s="47">
        <v>7.6285240464344942E-2</v>
      </c>
      <c r="I28" s="32">
        <v>7.0063694267515922E-2</v>
      </c>
      <c r="J28" s="34">
        <v>8.3044982698961933E-2</v>
      </c>
      <c r="K28" s="61" t="s">
        <v>87</v>
      </c>
      <c r="L28" s="45">
        <v>7.0942662779397467E-2</v>
      </c>
      <c r="M28" s="32">
        <v>9.1954022988505746E-2</v>
      </c>
      <c r="N28" s="49">
        <v>4.9309664694280081E-2</v>
      </c>
      <c r="O28" s="47">
        <v>5.2980132450331126E-2</v>
      </c>
      <c r="P28" s="32">
        <v>4.8245614035087717E-2</v>
      </c>
      <c r="Q28" s="34">
        <v>5.7777777777777775E-2</v>
      </c>
      <c r="R28" s="45">
        <v>6.5200909780136471E-2</v>
      </c>
      <c r="S28" s="32">
        <v>7.4242424242424249E-2</v>
      </c>
      <c r="T28" s="49">
        <v>5.614567526555387E-2</v>
      </c>
      <c r="U28" s="47">
        <v>4.4692737430167599E-2</v>
      </c>
      <c r="V28" s="32">
        <v>5.4945054945054944E-2</v>
      </c>
      <c r="W28" s="34">
        <v>3.4090909090909088E-2</v>
      </c>
    </row>
    <row r="29" spans="1:23" x14ac:dyDescent="0.45">
      <c r="A29" s="61" t="s">
        <v>88</v>
      </c>
      <c r="B29" s="45">
        <v>7.5634871193521205E-2</v>
      </c>
      <c r="C29" s="32">
        <v>8.9977792105451676E-2</v>
      </c>
      <c r="D29" s="34">
        <v>6.0615153788447111E-2</v>
      </c>
      <c r="E29" s="45">
        <v>5.2083333333333336E-2</v>
      </c>
      <c r="F29" s="32">
        <v>5.4320987654320987E-2</v>
      </c>
      <c r="G29" s="49">
        <v>4.9723756906077346E-2</v>
      </c>
      <c r="H29" s="47">
        <v>5.306799336650083E-2</v>
      </c>
      <c r="I29" s="32">
        <v>5.0955414012738856E-2</v>
      </c>
      <c r="J29" s="34">
        <v>5.536332179930796E-2</v>
      </c>
      <c r="K29" s="61" t="s">
        <v>88</v>
      </c>
      <c r="L29" s="45">
        <v>6.3168124392614183E-2</v>
      </c>
      <c r="M29" s="32">
        <v>7.0881226053639848E-2</v>
      </c>
      <c r="N29" s="49">
        <v>5.5226824457593686E-2</v>
      </c>
      <c r="O29" s="47">
        <v>7.9470198675496692E-2</v>
      </c>
      <c r="P29" s="32">
        <v>8.3333333333333329E-2</v>
      </c>
      <c r="Q29" s="34">
        <v>7.5555555555555556E-2</v>
      </c>
      <c r="R29" s="45">
        <v>6.8991660348749054E-2</v>
      </c>
      <c r="S29" s="32">
        <v>8.0303030303030307E-2</v>
      </c>
      <c r="T29" s="49">
        <v>5.7663125948406675E-2</v>
      </c>
      <c r="U29" s="47">
        <v>6.1452513966480445E-2</v>
      </c>
      <c r="V29" s="32">
        <v>5.4945054945054944E-2</v>
      </c>
      <c r="W29" s="34">
        <v>6.8181818181818177E-2</v>
      </c>
    </row>
    <row r="30" spans="1:23" x14ac:dyDescent="0.45">
      <c r="A30" s="61" t="s">
        <v>89</v>
      </c>
      <c r="B30" s="45">
        <v>7.4682106343215218E-2</v>
      </c>
      <c r="C30" s="32">
        <v>7.2211476466795613E-2</v>
      </c>
      <c r="D30" s="34">
        <v>7.7269317329332315E-2</v>
      </c>
      <c r="E30" s="45">
        <v>8.0729166666666671E-2</v>
      </c>
      <c r="F30" s="32">
        <v>6.9135802469135796E-2</v>
      </c>
      <c r="G30" s="49">
        <v>9.3922651933701654E-2</v>
      </c>
      <c r="H30" s="47">
        <v>5.306799336650083E-2</v>
      </c>
      <c r="I30" s="32">
        <v>5.0955414012738856E-2</v>
      </c>
      <c r="J30" s="34">
        <v>5.536332179930796E-2</v>
      </c>
      <c r="K30" s="61" t="s">
        <v>89</v>
      </c>
      <c r="L30" s="45">
        <v>8.2604470359572399E-2</v>
      </c>
      <c r="M30" s="32">
        <v>8.2375478927203066E-2</v>
      </c>
      <c r="N30" s="49">
        <v>8.2840236686390539E-2</v>
      </c>
      <c r="O30" s="47">
        <v>6.4017660044150104E-2</v>
      </c>
      <c r="P30" s="32">
        <v>8.771929824561403E-2</v>
      </c>
      <c r="Q30" s="34">
        <v>0.04</v>
      </c>
      <c r="R30" s="45">
        <v>6.974981046247157E-2</v>
      </c>
      <c r="S30" s="32">
        <v>7.8787878787878782E-2</v>
      </c>
      <c r="T30" s="49">
        <v>6.0698027314112293E-2</v>
      </c>
      <c r="U30" s="47">
        <v>6.1452513966480445E-2</v>
      </c>
      <c r="V30" s="32">
        <v>5.4945054945054944E-2</v>
      </c>
      <c r="W30" s="34">
        <v>6.8181818181818177E-2</v>
      </c>
    </row>
    <row r="31" spans="1:23" x14ac:dyDescent="0.45">
      <c r="A31" s="61" t="s">
        <v>90</v>
      </c>
      <c r="B31" s="45">
        <v>5.7532339037707499E-2</v>
      </c>
      <c r="C31" s="32">
        <v>7.020560212049573E-2</v>
      </c>
      <c r="D31" s="34">
        <v>4.4261065266316568E-2</v>
      </c>
      <c r="E31" s="45">
        <v>5.7291666666666664E-2</v>
      </c>
      <c r="F31" s="32">
        <v>6.9135802469135796E-2</v>
      </c>
      <c r="G31" s="49">
        <v>4.4198895027624308E-2</v>
      </c>
      <c r="H31" s="47">
        <v>6.965174129353234E-2</v>
      </c>
      <c r="I31" s="32">
        <v>9.5541401273885357E-2</v>
      </c>
      <c r="J31" s="34">
        <v>4.1522491349480967E-2</v>
      </c>
      <c r="K31" s="61" t="s">
        <v>90</v>
      </c>
      <c r="L31" s="45">
        <v>5.1506316812439258E-2</v>
      </c>
      <c r="M31" s="32">
        <v>5.7471264367816091E-2</v>
      </c>
      <c r="N31" s="49">
        <v>4.5364891518737675E-2</v>
      </c>
      <c r="O31" s="47">
        <v>6.1810154525386317E-2</v>
      </c>
      <c r="P31" s="32">
        <v>7.8947368421052627E-2</v>
      </c>
      <c r="Q31" s="34">
        <v>4.4444444444444446E-2</v>
      </c>
      <c r="R31" s="45">
        <v>5.9893858984078847E-2</v>
      </c>
      <c r="S31" s="32">
        <v>7.575757575757576E-2</v>
      </c>
      <c r="T31" s="49">
        <v>4.4006069802731411E-2</v>
      </c>
      <c r="U31" s="47">
        <v>6.7039106145251395E-2</v>
      </c>
      <c r="V31" s="32">
        <v>1.098901098901099E-2</v>
      </c>
      <c r="W31" s="34">
        <v>0.125</v>
      </c>
    </row>
    <row r="32" spans="1:23" x14ac:dyDescent="0.45">
      <c r="A32" s="61" t="s">
        <v>91</v>
      </c>
      <c r="B32" s="45">
        <v>6.4128403385979693E-2</v>
      </c>
      <c r="C32" s="32">
        <v>8.9547961888387415E-2</v>
      </c>
      <c r="D32" s="34">
        <v>3.7509377344336077E-2</v>
      </c>
      <c r="E32" s="45">
        <v>8.0729166666666671E-2</v>
      </c>
      <c r="F32" s="32">
        <v>9.8765432098765427E-2</v>
      </c>
      <c r="G32" s="49">
        <v>6.0773480662983423E-2</v>
      </c>
      <c r="H32" s="47">
        <v>3.9800995024875621E-2</v>
      </c>
      <c r="I32" s="32">
        <v>5.7324840764331211E-2</v>
      </c>
      <c r="J32" s="34">
        <v>2.0761245674740483E-2</v>
      </c>
      <c r="K32" s="61" t="s">
        <v>91</v>
      </c>
      <c r="L32" s="45">
        <v>4.7619047619047616E-2</v>
      </c>
      <c r="M32" s="32">
        <v>6.1302681992337162E-2</v>
      </c>
      <c r="N32" s="49">
        <v>3.3530571992110451E-2</v>
      </c>
      <c r="O32" s="47">
        <v>4.6357615894039736E-2</v>
      </c>
      <c r="P32" s="32">
        <v>7.0175438596491224E-2</v>
      </c>
      <c r="Q32" s="34">
        <v>2.2222222222222223E-2</v>
      </c>
      <c r="R32" s="45">
        <v>3.6391205458680818E-2</v>
      </c>
      <c r="S32" s="32">
        <v>0.05</v>
      </c>
      <c r="T32" s="49">
        <v>2.2761760242792108E-2</v>
      </c>
      <c r="U32" s="47">
        <v>6.1452513966480445E-2</v>
      </c>
      <c r="V32" s="32">
        <v>6.5934065934065936E-2</v>
      </c>
      <c r="W32" s="34">
        <v>5.6818181818181816E-2</v>
      </c>
    </row>
    <row r="33" spans="1:23" x14ac:dyDescent="0.45">
      <c r="A33" s="61" t="s">
        <v>92</v>
      </c>
      <c r="B33" s="45">
        <v>4.5806002418556924E-2</v>
      </c>
      <c r="C33" s="32">
        <v>6.4474532559638933E-2</v>
      </c>
      <c r="D33" s="34">
        <v>2.6256564141035256E-2</v>
      </c>
      <c r="E33" s="45">
        <v>3.6458333333333336E-2</v>
      </c>
      <c r="F33" s="32">
        <v>6.4197530864197536E-2</v>
      </c>
      <c r="G33" s="49">
        <v>5.5248618784530384E-3</v>
      </c>
      <c r="H33" s="47">
        <v>8.2918739635157543E-2</v>
      </c>
      <c r="I33" s="32">
        <v>9.5541401273885357E-2</v>
      </c>
      <c r="J33" s="34">
        <v>6.9204152249134954E-2</v>
      </c>
      <c r="K33" s="61" t="s">
        <v>92</v>
      </c>
      <c r="L33" s="45">
        <v>4.470359572400389E-2</v>
      </c>
      <c r="M33" s="32">
        <v>4.7892720306513412E-2</v>
      </c>
      <c r="N33" s="49">
        <v>4.142011834319527E-2</v>
      </c>
      <c r="O33" s="47">
        <v>5.0772626931567331E-2</v>
      </c>
      <c r="P33" s="32">
        <v>5.2631578947368418E-2</v>
      </c>
      <c r="Q33" s="34">
        <v>4.8888888888888891E-2</v>
      </c>
      <c r="R33" s="45">
        <v>3.7907505686125852E-2</v>
      </c>
      <c r="S33" s="32">
        <v>5.6060606060606061E-2</v>
      </c>
      <c r="T33" s="49">
        <v>1.9726858877086494E-2</v>
      </c>
      <c r="U33" s="47">
        <v>6.7039106145251395E-2</v>
      </c>
      <c r="V33" s="32">
        <v>5.4945054945054944E-2</v>
      </c>
      <c r="W33" s="34">
        <v>7.9545454545454544E-2</v>
      </c>
    </row>
    <row r="34" spans="1:23" x14ac:dyDescent="0.45">
      <c r="A34" s="61" t="s">
        <v>93</v>
      </c>
      <c r="B34" s="45">
        <v>2.0521089083513504E-2</v>
      </c>
      <c r="C34" s="32">
        <v>2.7222580414069775E-2</v>
      </c>
      <c r="D34" s="34">
        <v>1.3503375843960988E-2</v>
      </c>
      <c r="E34" s="45">
        <v>3.6458333333333336E-2</v>
      </c>
      <c r="F34" s="32">
        <v>3.4567901234567898E-2</v>
      </c>
      <c r="G34" s="49">
        <v>3.8674033149171269E-2</v>
      </c>
      <c r="H34" s="47">
        <v>4.3117744610281922E-2</v>
      </c>
      <c r="I34" s="32">
        <v>5.7324840764331211E-2</v>
      </c>
      <c r="J34" s="34">
        <v>2.768166089965398E-2</v>
      </c>
      <c r="K34" s="61" t="s">
        <v>93</v>
      </c>
      <c r="L34" s="45">
        <v>3.69290573372206E-2</v>
      </c>
      <c r="M34" s="32">
        <v>4.2145593869731802E-2</v>
      </c>
      <c r="N34" s="49">
        <v>3.1558185404339252E-2</v>
      </c>
      <c r="O34" s="47">
        <v>5.0772626931567331E-2</v>
      </c>
      <c r="P34" s="32">
        <v>7.0175438596491224E-2</v>
      </c>
      <c r="Q34" s="34">
        <v>3.111111111111111E-2</v>
      </c>
      <c r="R34" s="45">
        <v>1.8953752843062926E-2</v>
      </c>
      <c r="S34" s="32">
        <v>2.2727272727272728E-2</v>
      </c>
      <c r="T34" s="49">
        <v>1.5174506828528073E-2</v>
      </c>
      <c r="U34" s="47">
        <v>3.3519553072625698E-2</v>
      </c>
      <c r="V34" s="32">
        <v>1.098901098901099E-2</v>
      </c>
      <c r="W34" s="34">
        <v>5.6818181818181816E-2</v>
      </c>
    </row>
    <row r="35" spans="1:23" ht="14.65" thickBot="1" x14ac:dyDescent="0.5">
      <c r="A35" s="63" t="s">
        <v>94</v>
      </c>
      <c r="B35" s="46">
        <v>7.6954084063175637E-3</v>
      </c>
      <c r="C35" s="33">
        <v>8.5966043412851918E-3</v>
      </c>
      <c r="D35" s="35">
        <v>6.7516879219804938E-3</v>
      </c>
      <c r="E35" s="46">
        <v>4.6875E-2</v>
      </c>
      <c r="F35" s="33">
        <v>3.9506172839506172E-2</v>
      </c>
      <c r="G35" s="50">
        <v>5.5248618784530384E-2</v>
      </c>
      <c r="H35" s="48">
        <v>3.316749585406302E-2</v>
      </c>
      <c r="I35" s="33">
        <v>3.8216560509554139E-2</v>
      </c>
      <c r="J35" s="35">
        <v>2.768166089965398E-2</v>
      </c>
      <c r="K35" s="63" t="s">
        <v>94</v>
      </c>
      <c r="L35" s="46">
        <v>2.1379980563654033E-2</v>
      </c>
      <c r="M35" s="33">
        <v>2.1072796934865901E-2</v>
      </c>
      <c r="N35" s="50">
        <v>2.1696252465483234E-2</v>
      </c>
      <c r="O35" s="48">
        <v>2.4282560706401765E-2</v>
      </c>
      <c r="P35" s="33">
        <v>3.5087719298245612E-2</v>
      </c>
      <c r="Q35" s="35">
        <v>1.3333333333333334E-2</v>
      </c>
      <c r="R35" s="46">
        <v>6.0652009097801364E-3</v>
      </c>
      <c r="S35" s="33">
        <v>7.575757575757576E-3</v>
      </c>
      <c r="T35" s="50">
        <v>4.552352048558422E-3</v>
      </c>
      <c r="U35" s="48">
        <v>1.6759776536312849E-2</v>
      </c>
      <c r="V35" s="33">
        <v>2.197802197802198E-2</v>
      </c>
      <c r="W35" s="35">
        <v>1.1363636363636364E-2</v>
      </c>
    </row>
    <row r="36" spans="1:23" x14ac:dyDescent="0.45">
      <c r="B36" s="11">
        <f t="shared" ref="B36:W36" si="0">SUM(B12:B35)</f>
        <v>1.0000463923192495</v>
      </c>
      <c r="C36" s="11">
        <f t="shared" si="0"/>
        <v>0.9995073429328748</v>
      </c>
      <c r="D36" s="11">
        <f t="shared" si="0"/>
        <v>0.99975243810952719</v>
      </c>
      <c r="E36" s="11">
        <f t="shared" si="0"/>
        <v>1</v>
      </c>
      <c r="F36" s="11">
        <f t="shared" si="0"/>
        <v>1.0004691358024691</v>
      </c>
      <c r="G36" s="11">
        <f t="shared" si="0"/>
        <v>0.99999999999999989</v>
      </c>
      <c r="H36" s="11">
        <f t="shared" si="0"/>
        <v>0.99965837479270303</v>
      </c>
      <c r="I36" s="11">
        <f t="shared" si="0"/>
        <v>0.99999999999999989</v>
      </c>
      <c r="J36" s="11">
        <f t="shared" si="0"/>
        <v>1.0004602076124567</v>
      </c>
      <c r="K36" s="11"/>
      <c r="L36" s="11">
        <f t="shared" si="0"/>
        <v>0.99999999999999978</v>
      </c>
      <c r="M36" s="11">
        <f t="shared" si="0"/>
        <v>1</v>
      </c>
      <c r="N36" s="11">
        <f t="shared" si="0"/>
        <v>0.99999999999999989</v>
      </c>
      <c r="O36" s="11">
        <f t="shared" si="0"/>
        <v>1</v>
      </c>
      <c r="P36" s="11">
        <f t="shared" si="0"/>
        <v>1</v>
      </c>
      <c r="Q36" s="11">
        <f t="shared" si="0"/>
        <v>1</v>
      </c>
      <c r="R36" s="11">
        <f t="shared" si="0"/>
        <v>1</v>
      </c>
      <c r="S36" s="11">
        <f t="shared" si="0"/>
        <v>0.99999999999999989</v>
      </c>
      <c r="T36" s="11">
        <f t="shared" si="0"/>
        <v>1</v>
      </c>
      <c r="U36" s="11">
        <f t="shared" si="0"/>
        <v>1</v>
      </c>
      <c r="V36" s="11">
        <f t="shared" si="0"/>
        <v>0.99999999999999989</v>
      </c>
      <c r="W36" s="11">
        <f t="shared" si="0"/>
        <v>0.99999999999999989</v>
      </c>
    </row>
  </sheetData>
  <mergeCells count="51">
    <mergeCell ref="U9:W9"/>
    <mergeCell ref="U10:W10"/>
    <mergeCell ref="R4:T4"/>
    <mergeCell ref="R5:T5"/>
    <mergeCell ref="R6:T6"/>
    <mergeCell ref="U4:W4"/>
    <mergeCell ref="U5:W5"/>
    <mergeCell ref="U6:W6"/>
    <mergeCell ref="U7:W7"/>
    <mergeCell ref="U8:W8"/>
    <mergeCell ref="O4:Q4"/>
    <mergeCell ref="R7:T7"/>
    <mergeCell ref="R8:T8"/>
    <mergeCell ref="R9:T9"/>
    <mergeCell ref="R10:T10"/>
    <mergeCell ref="A3:W3"/>
    <mergeCell ref="A1:W2"/>
    <mergeCell ref="B6:D6"/>
    <mergeCell ref="E6:G6"/>
    <mergeCell ref="H6:J6"/>
    <mergeCell ref="L6:N6"/>
    <mergeCell ref="O6:Q6"/>
    <mergeCell ref="B5:D5"/>
    <mergeCell ref="E5:G5"/>
    <mergeCell ref="H5:J5"/>
    <mergeCell ref="L5:N5"/>
    <mergeCell ref="O5:Q5"/>
    <mergeCell ref="B4:D4"/>
    <mergeCell ref="E4:G4"/>
    <mergeCell ref="H4:J4"/>
    <mergeCell ref="L4:N4"/>
    <mergeCell ref="B8:D8"/>
    <mergeCell ref="E8:G8"/>
    <mergeCell ref="H8:J8"/>
    <mergeCell ref="L8:N8"/>
    <mergeCell ref="O8:Q8"/>
    <mergeCell ref="B7:D7"/>
    <mergeCell ref="E7:G7"/>
    <mergeCell ref="H7:J7"/>
    <mergeCell ref="L7:N7"/>
    <mergeCell ref="O7:Q7"/>
    <mergeCell ref="B10:D10"/>
    <mergeCell ref="E10:G10"/>
    <mergeCell ref="H10:J10"/>
    <mergeCell ref="L10:N10"/>
    <mergeCell ref="O10:Q10"/>
    <mergeCell ref="B9:D9"/>
    <mergeCell ref="E9:G9"/>
    <mergeCell ref="H9:J9"/>
    <mergeCell ref="L9:N9"/>
    <mergeCell ref="O9:Q9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0893-A28B-4F46-A447-4B02DDED7D21}">
  <sheetPr>
    <tabColor rgb="FFFFFF00"/>
  </sheetPr>
  <dimension ref="A1:J36"/>
  <sheetViews>
    <sheetView workbookViewId="0">
      <selection activeCell="G23" sqref="G23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ht="14.65" thickBot="1" x14ac:dyDescent="0.5">
      <c r="A3" s="100" t="s">
        <v>157</v>
      </c>
      <c r="B3" s="91"/>
      <c r="C3" s="91"/>
      <c r="D3" s="91"/>
      <c r="E3" s="91"/>
      <c r="F3" s="91"/>
      <c r="G3" s="91"/>
      <c r="H3" s="91"/>
      <c r="I3" s="91"/>
      <c r="J3" s="92"/>
    </row>
    <row r="4" spans="1:10" x14ac:dyDescent="0.45">
      <c r="A4" s="18" t="s">
        <v>68</v>
      </c>
      <c r="B4" s="102">
        <v>225</v>
      </c>
      <c r="C4" s="102"/>
      <c r="D4" s="102"/>
      <c r="E4" s="102">
        <v>225</v>
      </c>
      <c r="F4" s="102"/>
      <c r="G4" s="106"/>
      <c r="H4" s="108">
        <v>225</v>
      </c>
      <c r="I4" s="102"/>
      <c r="J4" s="103"/>
    </row>
    <row r="5" spans="1:10" x14ac:dyDescent="0.45">
      <c r="A5" s="4" t="s">
        <v>0</v>
      </c>
      <c r="B5" s="88" t="s">
        <v>111</v>
      </c>
      <c r="C5" s="88"/>
      <c r="D5" s="88"/>
      <c r="E5" s="88" t="s">
        <v>111</v>
      </c>
      <c r="F5" s="88"/>
      <c r="G5" s="104"/>
      <c r="H5" s="99" t="s">
        <v>111</v>
      </c>
      <c r="I5" s="88"/>
      <c r="J5" s="89"/>
    </row>
    <row r="6" spans="1:10" x14ac:dyDescent="0.45">
      <c r="A6" s="4" t="s">
        <v>98</v>
      </c>
      <c r="B6" s="88" t="s">
        <v>110</v>
      </c>
      <c r="C6" s="88"/>
      <c r="D6" s="88"/>
      <c r="E6" s="88" t="s">
        <v>58</v>
      </c>
      <c r="F6" s="88"/>
      <c r="G6" s="104"/>
      <c r="H6" s="99" t="s">
        <v>58</v>
      </c>
      <c r="I6" s="88"/>
      <c r="J6" s="89"/>
    </row>
    <row r="7" spans="1:10" x14ac:dyDescent="0.45">
      <c r="A7" s="4" t="s">
        <v>54</v>
      </c>
      <c r="B7" s="88" t="s">
        <v>55</v>
      </c>
      <c r="C7" s="88"/>
      <c r="D7" s="88"/>
      <c r="E7" s="88" t="s">
        <v>55</v>
      </c>
      <c r="F7" s="88"/>
      <c r="G7" s="104"/>
      <c r="H7" s="99" t="s">
        <v>56</v>
      </c>
      <c r="I7" s="88"/>
      <c r="J7" s="89"/>
    </row>
    <row r="8" spans="1:10" x14ac:dyDescent="0.45">
      <c r="A8" s="4" t="s">
        <v>59</v>
      </c>
      <c r="B8" s="88" t="s">
        <v>60</v>
      </c>
      <c r="C8" s="88"/>
      <c r="D8" s="88"/>
      <c r="E8" s="88" t="s">
        <v>60</v>
      </c>
      <c r="F8" s="88"/>
      <c r="G8" s="104"/>
      <c r="H8" s="99" t="s">
        <v>60</v>
      </c>
      <c r="I8" s="88"/>
      <c r="J8" s="89"/>
    </row>
    <row r="9" spans="1:10" ht="14.65" thickBot="1" x14ac:dyDescent="0.5">
      <c r="A9" s="7" t="s">
        <v>64</v>
      </c>
      <c r="B9" s="91">
        <v>15</v>
      </c>
      <c r="C9" s="91"/>
      <c r="D9" s="91"/>
      <c r="E9" s="91">
        <v>7</v>
      </c>
      <c r="F9" s="91"/>
      <c r="G9" s="105"/>
      <c r="H9" s="100">
        <v>2</v>
      </c>
      <c r="I9" s="91"/>
      <c r="J9" s="92"/>
    </row>
    <row r="10" spans="1:10" x14ac:dyDescent="0.45">
      <c r="A10" s="27"/>
      <c r="B10" s="85" t="s">
        <v>134</v>
      </c>
      <c r="C10" s="85"/>
      <c r="D10" s="85"/>
      <c r="E10" s="85" t="s">
        <v>134</v>
      </c>
      <c r="F10" s="85"/>
      <c r="G10" s="109"/>
      <c r="H10" s="137" t="s">
        <v>134</v>
      </c>
      <c r="I10" s="85"/>
      <c r="J10" s="86"/>
    </row>
    <row r="11" spans="1:10" x14ac:dyDescent="0.45">
      <c r="A11" s="19" t="s">
        <v>65</v>
      </c>
      <c r="B11" s="2" t="s">
        <v>95</v>
      </c>
      <c r="C11" s="2" t="s">
        <v>66</v>
      </c>
      <c r="D11" s="2" t="s">
        <v>67</v>
      </c>
      <c r="E11" s="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4" t="s">
        <v>71</v>
      </c>
      <c r="B12" s="3">
        <v>2.6094169583983577E-2</v>
      </c>
      <c r="C12" s="3">
        <v>3.0362195812110922E-2</v>
      </c>
      <c r="D12" s="3">
        <v>2.1879453432810798E-2</v>
      </c>
      <c r="E12" s="3">
        <v>2.7447569343771142E-2</v>
      </c>
      <c r="F12" s="3">
        <v>3.3922261484098937E-2</v>
      </c>
      <c r="G12" s="20">
        <v>2.093564228482812E-2</v>
      </c>
      <c r="H12" s="25">
        <v>3.2692307692307694E-2</v>
      </c>
      <c r="I12" s="3">
        <v>2.8382838283828381E-2</v>
      </c>
      <c r="J12" s="6">
        <v>3.6760124610591902E-2</v>
      </c>
    </row>
    <row r="13" spans="1:10" x14ac:dyDescent="0.45">
      <c r="A13" s="4" t="s">
        <v>72</v>
      </c>
      <c r="B13" s="3">
        <v>1.5915193948852054E-2</v>
      </c>
      <c r="C13" s="3">
        <v>1.8619128466327108E-2</v>
      </c>
      <c r="D13" s="3">
        <v>1.3245033112582781E-2</v>
      </c>
      <c r="E13" s="3">
        <v>1.7041976740440064E-2</v>
      </c>
      <c r="F13" s="3">
        <v>2.0301959524574364E-2</v>
      </c>
      <c r="G13" s="20">
        <v>1.3763246316877746E-2</v>
      </c>
      <c r="H13" s="25">
        <v>2.5000000000000001E-2</v>
      </c>
      <c r="I13" s="3">
        <v>2.4422442244224421E-2</v>
      </c>
      <c r="J13" s="6">
        <v>2.5545171339563862E-2</v>
      </c>
    </row>
    <row r="14" spans="1:10" x14ac:dyDescent="0.45">
      <c r="A14" s="4" t="s">
        <v>73</v>
      </c>
      <c r="B14" s="3">
        <v>1.0122738200683285E-2</v>
      </c>
      <c r="C14" s="3">
        <v>1.2450481041312959E-2</v>
      </c>
      <c r="D14" s="3">
        <v>7.8240701930868753E-3</v>
      </c>
      <c r="E14" s="3">
        <v>1.1597564511452595E-2</v>
      </c>
      <c r="F14" s="3">
        <v>1.374879537423707E-2</v>
      </c>
      <c r="G14" s="20">
        <v>9.433962264150943E-3</v>
      </c>
      <c r="H14" s="25">
        <v>1.2500000000000001E-2</v>
      </c>
      <c r="I14" s="3">
        <v>1.0561056105610561E-2</v>
      </c>
      <c r="J14" s="6">
        <v>1.4330218068535825E-2</v>
      </c>
    </row>
    <row r="15" spans="1:10" x14ac:dyDescent="0.45">
      <c r="A15" s="4" t="s">
        <v>74</v>
      </c>
      <c r="B15" s="3">
        <v>5.440971782867266E-3</v>
      </c>
      <c r="C15" s="3">
        <v>6.706281833616299E-3</v>
      </c>
      <c r="D15" s="3">
        <v>4.1914661748679687E-3</v>
      </c>
      <c r="E15" s="3">
        <v>6.7652459650140136E-3</v>
      </c>
      <c r="F15" s="3">
        <v>7.2598779312560233E-3</v>
      </c>
      <c r="G15" s="20">
        <v>6.2677694494701472E-3</v>
      </c>
      <c r="H15" s="25">
        <v>9.6153846153846159E-3</v>
      </c>
      <c r="I15" s="3">
        <v>7.9207920792079209E-3</v>
      </c>
      <c r="J15" s="6">
        <v>1.1214953271028037E-2</v>
      </c>
    </row>
    <row r="16" spans="1:10" x14ac:dyDescent="0.45">
      <c r="A16" s="4" t="s">
        <v>75</v>
      </c>
      <c r="B16" s="3">
        <v>4.4286979627989375E-3</v>
      </c>
      <c r="C16" s="3">
        <v>4.2161856253537071E-3</v>
      </c>
      <c r="D16" s="3">
        <v>4.638555900187219E-3</v>
      </c>
      <c r="E16" s="3">
        <v>4.38130214877098E-3</v>
      </c>
      <c r="F16" s="3">
        <v>4.6257629296498556E-3</v>
      </c>
      <c r="G16" s="20">
        <v>4.1354355130524684E-3</v>
      </c>
      <c r="H16" s="25">
        <v>7.0512820512820514E-3</v>
      </c>
      <c r="I16" s="3">
        <v>7.9207920792079209E-3</v>
      </c>
      <c r="J16" s="6">
        <v>6.2305295950155761E-3</v>
      </c>
    </row>
    <row r="17" spans="1:10" x14ac:dyDescent="0.45">
      <c r="A17" s="4" t="s">
        <v>76</v>
      </c>
      <c r="B17" s="3">
        <v>6.7344327751767963E-3</v>
      </c>
      <c r="C17" s="3">
        <v>4.3859649122807015E-3</v>
      </c>
      <c r="D17" s="3">
        <v>9.0535669377148128E-3</v>
      </c>
      <c r="E17" s="3">
        <v>5.8632131696788117E-3</v>
      </c>
      <c r="F17" s="3">
        <v>4.1117892707998715E-3</v>
      </c>
      <c r="G17" s="20">
        <v>7.6247092271904881E-3</v>
      </c>
      <c r="H17" s="25">
        <v>6.7307692307692311E-3</v>
      </c>
      <c r="I17" s="3">
        <v>5.9405940594059407E-3</v>
      </c>
      <c r="J17" s="6">
        <v>7.4766355140186919E-3</v>
      </c>
    </row>
    <row r="18" spans="1:10" x14ac:dyDescent="0.45">
      <c r="A18" s="4" t="s">
        <v>77</v>
      </c>
      <c r="B18" s="3">
        <v>1.1514614703277236E-2</v>
      </c>
      <c r="C18" s="3">
        <v>6.9043576683644591E-3</v>
      </c>
      <c r="D18" s="3">
        <v>1.6067287003660547E-2</v>
      </c>
      <c r="E18" s="3">
        <v>1.1790857253310139E-2</v>
      </c>
      <c r="F18" s="3">
        <v>8.223578541599743E-3</v>
      </c>
      <c r="G18" s="20">
        <v>1.5378650814163867E-2</v>
      </c>
      <c r="H18" s="25">
        <v>8.9743589743589737E-3</v>
      </c>
      <c r="I18" s="3">
        <v>9.9009900990099011E-3</v>
      </c>
      <c r="J18" s="6">
        <v>8.0996884735202498E-3</v>
      </c>
    </row>
    <row r="19" spans="1:10" x14ac:dyDescent="0.45">
      <c r="A19" s="4" t="s">
        <v>78</v>
      </c>
      <c r="B19" s="3">
        <v>3.1661675594359388E-2</v>
      </c>
      <c r="C19" s="3">
        <v>1.6553480475382003E-2</v>
      </c>
      <c r="D19" s="3">
        <v>4.6581160756699359E-2</v>
      </c>
      <c r="E19" s="3">
        <v>2.7963016655391255E-2</v>
      </c>
      <c r="F19" s="3">
        <v>2.0430452939286862E-2</v>
      </c>
      <c r="G19" s="20">
        <v>3.5538898940294647E-2</v>
      </c>
      <c r="H19" s="25">
        <v>2.5320512820512821E-2</v>
      </c>
      <c r="I19" s="3">
        <v>3.0363036303630363E-2</v>
      </c>
      <c r="J19" s="6">
        <v>2.0560747663551402E-2</v>
      </c>
    </row>
    <row r="20" spans="1:10" x14ac:dyDescent="0.45">
      <c r="A20" s="4" t="s">
        <v>79</v>
      </c>
      <c r="B20" s="3">
        <v>3.8677295541777387E-2</v>
      </c>
      <c r="C20" s="3">
        <v>2.2807017543859651E-2</v>
      </c>
      <c r="D20" s="3">
        <v>5.4349344734121327E-2</v>
      </c>
      <c r="E20" s="3">
        <v>3.7531007377339651E-2</v>
      </c>
      <c r="F20" s="3">
        <v>3.0131705750080309E-2</v>
      </c>
      <c r="G20" s="20">
        <v>4.4972861204445595E-2</v>
      </c>
      <c r="H20" s="25">
        <v>1.6666666666666666E-2</v>
      </c>
      <c r="I20" s="3">
        <v>1.914191419141914E-2</v>
      </c>
      <c r="J20" s="6">
        <v>1.4330218068535825E-2</v>
      </c>
    </row>
    <row r="21" spans="1:10" x14ac:dyDescent="0.45">
      <c r="A21" s="4" t="s">
        <v>80</v>
      </c>
      <c r="B21" s="3">
        <v>4.0561249595793443E-2</v>
      </c>
      <c r="C21" s="3">
        <v>2.7985285795132993E-2</v>
      </c>
      <c r="D21" s="3">
        <v>5.2980132450331126E-2</v>
      </c>
      <c r="E21" s="3">
        <v>4.0623691247060341E-2</v>
      </c>
      <c r="F21" s="3">
        <v>3.2701574044330231E-2</v>
      </c>
      <c r="G21" s="20">
        <v>4.85913672783665E-2</v>
      </c>
      <c r="H21" s="25">
        <v>3.8141025641025644E-2</v>
      </c>
      <c r="I21" s="3">
        <v>3.8283828382838281E-2</v>
      </c>
      <c r="J21" s="6">
        <v>3.8006230529595016E-2</v>
      </c>
    </row>
    <row r="22" spans="1:10" x14ac:dyDescent="0.45">
      <c r="A22" s="4" t="s">
        <v>81</v>
      </c>
      <c r="B22" s="3">
        <v>4.0898674202482881E-2</v>
      </c>
      <c r="C22" s="3">
        <v>3.6219581211092249E-2</v>
      </c>
      <c r="D22" s="3">
        <v>4.5519322659066143E-2</v>
      </c>
      <c r="E22" s="3">
        <v>4.120356947263297E-2</v>
      </c>
      <c r="F22" s="3">
        <v>3.527144233858015E-2</v>
      </c>
      <c r="G22" s="20">
        <v>4.716981132075472E-2</v>
      </c>
      <c r="H22" s="25">
        <v>4.6153846153846156E-2</v>
      </c>
      <c r="I22" s="3">
        <v>4.0264026402640263E-2</v>
      </c>
      <c r="J22" s="6">
        <v>5.1713395638629284E-2</v>
      </c>
    </row>
    <row r="23" spans="1:10" x14ac:dyDescent="0.45">
      <c r="A23" s="4" t="s">
        <v>82</v>
      </c>
      <c r="B23" s="3">
        <v>4.6142814964781308E-2</v>
      </c>
      <c r="C23" s="3">
        <v>4.2614601018675723E-2</v>
      </c>
      <c r="D23" s="3">
        <v>4.9626959510436754E-2</v>
      </c>
      <c r="E23" s="3">
        <v>4.5456009793498918E-2</v>
      </c>
      <c r="F23" s="3">
        <v>4.3173787343398648E-2</v>
      </c>
      <c r="G23" s="20">
        <v>4.7751356939777723E-2</v>
      </c>
      <c r="H23" s="25">
        <v>5.5448717948717946E-2</v>
      </c>
      <c r="I23" s="3">
        <v>5.0165016501650166E-2</v>
      </c>
      <c r="J23" s="6">
        <v>6.0436137071651089E-2</v>
      </c>
    </row>
    <row r="24" spans="1:10" x14ac:dyDescent="0.45">
      <c r="A24" s="4" t="s">
        <v>83</v>
      </c>
      <c r="B24" s="3">
        <v>5.3594275029173168E-2</v>
      </c>
      <c r="C24" s="3">
        <v>5.053763440860215E-2</v>
      </c>
      <c r="D24" s="3">
        <v>5.6612736468550029E-2</v>
      </c>
      <c r="E24" s="3">
        <v>4.9869527399246161E-2</v>
      </c>
      <c r="F24" s="3">
        <v>4.7735303565692257E-2</v>
      </c>
      <c r="G24" s="20">
        <v>5.2016024812613075E-2</v>
      </c>
      <c r="H24" s="25">
        <v>6.1217948717948716E-2</v>
      </c>
      <c r="I24" s="3">
        <v>6.0726072607260727E-2</v>
      </c>
      <c r="J24" s="6">
        <v>6.1682242990654203E-2</v>
      </c>
    </row>
    <row r="25" spans="1:10" x14ac:dyDescent="0.45">
      <c r="A25" s="4" t="s">
        <v>84</v>
      </c>
      <c r="B25" s="3">
        <v>5.6223375089628408E-2</v>
      </c>
      <c r="C25" s="3">
        <v>5.5857385398981323E-2</v>
      </c>
      <c r="D25" s="3">
        <v>5.6584793360717582E-2</v>
      </c>
      <c r="E25" s="3">
        <v>5.3252150381753162E-2</v>
      </c>
      <c r="F25" s="3">
        <v>4.9983938323160941E-2</v>
      </c>
      <c r="G25" s="20">
        <v>5.6539157405014216E-2</v>
      </c>
      <c r="H25" s="25">
        <v>6.3782051282051277E-2</v>
      </c>
      <c r="I25" s="3">
        <v>6.6666666666666666E-2</v>
      </c>
      <c r="J25" s="6">
        <v>6.1059190031152649E-2</v>
      </c>
    </row>
    <row r="26" spans="1:10" x14ac:dyDescent="0.45">
      <c r="A26" s="4" t="s">
        <v>85</v>
      </c>
      <c r="B26" s="3">
        <v>5.9049306170652495E-2</v>
      </c>
      <c r="C26" s="3">
        <v>6.1063950198075832E-2</v>
      </c>
      <c r="D26" s="3">
        <v>5.7059826193869283E-2</v>
      </c>
      <c r="E26" s="3">
        <v>5.2897780355014336E-2</v>
      </c>
      <c r="F26" s="3">
        <v>5.1204625762929647E-2</v>
      </c>
      <c r="G26" s="20">
        <v>5.4600672008270873E-2</v>
      </c>
      <c r="H26" s="25">
        <v>6.6987179487179485E-2</v>
      </c>
      <c r="I26" s="3">
        <v>6.5346534653465349E-2</v>
      </c>
      <c r="J26" s="6">
        <v>6.8535825545171333E-2</v>
      </c>
    </row>
    <row r="27" spans="1:10" x14ac:dyDescent="0.45">
      <c r="A27" s="4" t="s">
        <v>86</v>
      </c>
      <c r="B27" s="3">
        <v>6.3815428740140873E-2</v>
      </c>
      <c r="C27" s="3">
        <v>6.3950198075834755E-2</v>
      </c>
      <c r="D27" s="3">
        <v>6.3682342750160673E-2</v>
      </c>
      <c r="E27" s="3">
        <v>5.6087110595663799E-2</v>
      </c>
      <c r="F27" s="3">
        <v>5.8143270157404434E-2</v>
      </c>
      <c r="G27" s="20">
        <v>5.4019126389247871E-2</v>
      </c>
      <c r="H27" s="25">
        <v>7.179487179487179E-2</v>
      </c>
      <c r="I27" s="3">
        <v>6.9966996699669964E-2</v>
      </c>
      <c r="J27" s="6">
        <v>7.3520249221183803E-2</v>
      </c>
    </row>
    <row r="28" spans="1:10" x14ac:dyDescent="0.45">
      <c r="A28" s="4" t="s">
        <v>87</v>
      </c>
      <c r="B28" s="3">
        <v>6.8848679123258399E-2</v>
      </c>
      <c r="C28" s="3">
        <v>7.2382569326542162E-2</v>
      </c>
      <c r="D28" s="3">
        <v>6.5358929220107859E-2</v>
      </c>
      <c r="E28" s="3">
        <v>6.2820141103701557E-2</v>
      </c>
      <c r="F28" s="3">
        <v>6.2383552842916801E-2</v>
      </c>
      <c r="G28" s="20">
        <v>6.3259240113724483E-2</v>
      </c>
      <c r="H28" s="25">
        <v>6.6666666666666666E-2</v>
      </c>
      <c r="I28" s="3">
        <v>6.6006600660066E-2</v>
      </c>
      <c r="J28" s="6">
        <v>6.7289719626168226E-2</v>
      </c>
    </row>
    <row r="29" spans="1:10" x14ac:dyDescent="0.45">
      <c r="A29" s="4" t="s">
        <v>88</v>
      </c>
      <c r="B29" s="3">
        <v>7.5119153064237207E-2</v>
      </c>
      <c r="C29" s="3">
        <v>7.7079796264855685E-2</v>
      </c>
      <c r="D29" s="3">
        <v>7.3182999413194741E-2</v>
      </c>
      <c r="E29" s="3">
        <v>7.5319738410489348E-2</v>
      </c>
      <c r="F29" s="3">
        <v>7.6003854802441373E-2</v>
      </c>
      <c r="G29" s="20">
        <v>7.463168777461876E-2</v>
      </c>
      <c r="H29" s="25">
        <v>6.8589743589743596E-2</v>
      </c>
      <c r="I29" s="3">
        <v>6.7326732673267331E-2</v>
      </c>
      <c r="J29" s="6">
        <v>6.9781931464174454E-2</v>
      </c>
    </row>
    <row r="30" spans="1:10" x14ac:dyDescent="0.45">
      <c r="A30" s="4" t="s">
        <v>89</v>
      </c>
      <c r="B30" s="3">
        <v>6.9650062564145826E-2</v>
      </c>
      <c r="C30" s="3">
        <v>7.2722127900396158E-2</v>
      </c>
      <c r="D30" s="3">
        <v>6.6616369072568252E-2</v>
      </c>
      <c r="E30" s="3">
        <v>7.403112013143906E-2</v>
      </c>
      <c r="F30" s="3">
        <v>7.471892065531642E-2</v>
      </c>
      <c r="G30" s="20">
        <v>7.3339364176789865E-2</v>
      </c>
      <c r="H30" s="25">
        <v>6.9551282051282054E-2</v>
      </c>
      <c r="I30" s="3">
        <v>6.0066006600660068E-2</v>
      </c>
      <c r="J30" s="6">
        <v>7.8504672897196259E-2</v>
      </c>
    </row>
    <row r="31" spans="1:10" x14ac:dyDescent="0.45">
      <c r="A31" s="4" t="s">
        <v>90</v>
      </c>
      <c r="B31" s="3">
        <v>6.3998200402097652E-2</v>
      </c>
      <c r="C31" s="3">
        <v>6.8902093944538764E-2</v>
      </c>
      <c r="D31" s="3">
        <v>5.9155559281303269E-2</v>
      </c>
      <c r="E31" s="3">
        <v>6.6460487742018626E-2</v>
      </c>
      <c r="F31" s="3">
        <v>7.0799871506585288E-2</v>
      </c>
      <c r="G31" s="20">
        <v>6.2096148875678471E-2</v>
      </c>
      <c r="H31" s="25">
        <v>5.9935897435897438E-2</v>
      </c>
      <c r="I31" s="3">
        <v>6.7326732673267331E-2</v>
      </c>
      <c r="J31" s="6">
        <v>5.2959501557632398E-2</v>
      </c>
    </row>
    <row r="32" spans="1:10" x14ac:dyDescent="0.45">
      <c r="A32" s="4" t="s">
        <v>91</v>
      </c>
      <c r="B32" s="3">
        <v>6.252196774783135E-2</v>
      </c>
      <c r="C32" s="3">
        <v>7.1505376344086019E-2</v>
      </c>
      <c r="D32" s="3">
        <v>5.3650767038310003E-2</v>
      </c>
      <c r="E32" s="3">
        <v>6.9617602525691824E-2</v>
      </c>
      <c r="F32" s="3">
        <v>7.677481529071635E-2</v>
      </c>
      <c r="G32" s="20">
        <v>6.2419229775135691E-2</v>
      </c>
      <c r="H32" s="25">
        <v>4.5512820512820511E-2</v>
      </c>
      <c r="I32" s="3">
        <v>4.2904290429042903E-2</v>
      </c>
      <c r="J32" s="6">
        <v>4.7975077881619935E-2</v>
      </c>
    </row>
    <row r="33" spans="1:10" x14ac:dyDescent="0.45">
      <c r="A33" s="4" t="s">
        <v>92</v>
      </c>
      <c r="B33" s="3">
        <v>6.0806725997160006E-2</v>
      </c>
      <c r="C33" s="3">
        <v>7.3740803621958118E-2</v>
      </c>
      <c r="D33" s="3">
        <v>4.8034202363986922E-2</v>
      </c>
      <c r="E33" s="3">
        <v>6.6234979543184816E-2</v>
      </c>
      <c r="F33" s="3">
        <v>7.3241246386122713E-2</v>
      </c>
      <c r="G33" s="20">
        <v>5.9188420780563453E-2</v>
      </c>
      <c r="H33" s="25">
        <v>6.0897435897435896E-2</v>
      </c>
      <c r="I33" s="3">
        <v>6.9306930693069313E-2</v>
      </c>
      <c r="J33" s="6">
        <v>5.2959501557632398E-2</v>
      </c>
    </row>
    <row r="34" spans="1:10" x14ac:dyDescent="0.45">
      <c r="A34" s="4" t="s">
        <v>93</v>
      </c>
      <c r="B34" s="3">
        <v>5.0993293685942048E-2</v>
      </c>
      <c r="C34" s="3">
        <v>5.8800226372382566E-2</v>
      </c>
      <c r="D34" s="3">
        <v>4.3283874032469888E-2</v>
      </c>
      <c r="E34" s="3">
        <v>5.6924712477046488E-2</v>
      </c>
      <c r="F34" s="3">
        <v>6.3090266623835531E-2</v>
      </c>
      <c r="G34" s="20">
        <v>5.072370121478418E-2</v>
      </c>
      <c r="H34" s="25">
        <v>4.0064102564102567E-2</v>
      </c>
      <c r="I34" s="3">
        <v>4.5544554455445543E-2</v>
      </c>
      <c r="J34" s="6">
        <v>3.4890965732087227E-2</v>
      </c>
    </row>
    <row r="35" spans="1:10" ht="14.65" thickBot="1" x14ac:dyDescent="0.5">
      <c r="A35" s="7" t="s">
        <v>94</v>
      </c>
      <c r="B35" s="8">
        <v>3.7187003528899011E-2</v>
      </c>
      <c r="C35" s="8">
        <v>4.3633276740237689E-2</v>
      </c>
      <c r="D35" s="8">
        <v>3.0821247939195797E-2</v>
      </c>
      <c r="E35" s="8">
        <v>3.8819625656389939E-2</v>
      </c>
      <c r="F35" s="8">
        <v>4.2017346610986189E-2</v>
      </c>
      <c r="G35" s="21">
        <v>3.5603515120186092E-2</v>
      </c>
      <c r="H35" s="26">
        <v>4.0705128205128206E-2</v>
      </c>
      <c r="I35" s="8">
        <v>4.5544554455445543E-2</v>
      </c>
      <c r="J35" s="9">
        <v>3.6137071651090341E-2</v>
      </c>
    </row>
    <row r="36" spans="1:10" x14ac:dyDescent="0.45">
      <c r="B36" s="11">
        <f t="shared" ref="B36:J36" si="0">SUM(B12:B35)</f>
        <v>1.0000000000000002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1</v>
      </c>
      <c r="G36" s="11">
        <f t="shared" si="0"/>
        <v>1</v>
      </c>
      <c r="H36" s="11">
        <f t="shared" si="0"/>
        <v>0.99999999999999978</v>
      </c>
      <c r="I36" s="11">
        <f t="shared" si="0"/>
        <v>1</v>
      </c>
      <c r="J36" s="11">
        <f t="shared" si="0"/>
        <v>1</v>
      </c>
    </row>
  </sheetData>
  <mergeCells count="23">
    <mergeCell ref="B9:D9"/>
    <mergeCell ref="E9:G9"/>
    <mergeCell ref="H9:J9"/>
    <mergeCell ref="B10:D10"/>
    <mergeCell ref="E10:G10"/>
    <mergeCell ref="H10:J10"/>
    <mergeCell ref="B7:D7"/>
    <mergeCell ref="E7:G7"/>
    <mergeCell ref="H7:J7"/>
    <mergeCell ref="B8:D8"/>
    <mergeCell ref="E8:G8"/>
    <mergeCell ref="H8:J8"/>
    <mergeCell ref="B5:D5"/>
    <mergeCell ref="E5:G5"/>
    <mergeCell ref="H5:J5"/>
    <mergeCell ref="B6:D6"/>
    <mergeCell ref="E6:G6"/>
    <mergeCell ref="H6:J6"/>
    <mergeCell ref="A1:J2"/>
    <mergeCell ref="A3:J3"/>
    <mergeCell ref="B4:D4"/>
    <mergeCell ref="E4:G4"/>
    <mergeCell ref="H4:J4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FC60-F596-4C44-9C32-5763C09767F6}">
  <sheetPr>
    <tabColor rgb="FFFFFF00"/>
  </sheetPr>
  <dimension ref="A1:G36"/>
  <sheetViews>
    <sheetView topLeftCell="A2" workbookViewId="0">
      <selection activeCell="K23" sqref="K23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ht="14.65" thickBot="1" x14ac:dyDescent="0.5">
      <c r="A3" s="99" t="s">
        <v>157</v>
      </c>
      <c r="B3" s="88"/>
      <c r="C3" s="88"/>
      <c r="D3" s="88"/>
      <c r="E3" s="88"/>
      <c r="F3" s="88"/>
      <c r="G3" s="89"/>
    </row>
    <row r="4" spans="1:7" x14ac:dyDescent="0.45">
      <c r="A4" s="36" t="s">
        <v>68</v>
      </c>
      <c r="B4" s="108">
        <v>226</v>
      </c>
      <c r="C4" s="102"/>
      <c r="D4" s="103"/>
      <c r="E4" s="101">
        <v>226</v>
      </c>
      <c r="F4" s="102"/>
      <c r="G4" s="103"/>
    </row>
    <row r="5" spans="1:7" x14ac:dyDescent="0.45">
      <c r="A5" s="37" t="s">
        <v>0</v>
      </c>
      <c r="B5" s="99" t="s">
        <v>112</v>
      </c>
      <c r="C5" s="88"/>
      <c r="D5" s="89"/>
      <c r="E5" s="87" t="s">
        <v>112</v>
      </c>
      <c r="F5" s="88"/>
      <c r="G5" s="89"/>
    </row>
    <row r="6" spans="1:7" x14ac:dyDescent="0.45">
      <c r="A6" s="37" t="s">
        <v>98</v>
      </c>
      <c r="B6" s="99" t="s">
        <v>58</v>
      </c>
      <c r="C6" s="88"/>
      <c r="D6" s="89"/>
      <c r="E6" s="87" t="s">
        <v>58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56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2</v>
      </c>
      <c r="C9" s="91"/>
      <c r="D9" s="92"/>
      <c r="E9" s="90">
        <v>4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43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>
        <v>2.5899012483696665E-2</v>
      </c>
      <c r="C12" s="3">
        <v>3.0444527456107585E-2</v>
      </c>
      <c r="D12" s="6">
        <v>2.1375464684014869E-2</v>
      </c>
      <c r="E12" s="23">
        <v>8.2815734989648039E-3</v>
      </c>
      <c r="F12" s="3">
        <v>1.0482180293501049E-2</v>
      </c>
      <c r="G12" s="6">
        <v>6.1349693251533744E-3</v>
      </c>
    </row>
    <row r="13" spans="1:7" x14ac:dyDescent="0.45">
      <c r="A13" s="37" t="s">
        <v>72</v>
      </c>
      <c r="B13" s="25">
        <v>2.0588783305384755E-2</v>
      </c>
      <c r="C13" s="3">
        <v>2.3160254015689202E-2</v>
      </c>
      <c r="D13" s="6">
        <v>1.8029739776951673E-2</v>
      </c>
      <c r="E13" s="23">
        <v>3.105590062111801E-3</v>
      </c>
      <c r="F13" s="3">
        <v>6.2893081761006293E-3</v>
      </c>
      <c r="G13" s="6">
        <v>0</v>
      </c>
    </row>
    <row r="14" spans="1:7" x14ac:dyDescent="0.45">
      <c r="A14" s="37" t="s">
        <v>73</v>
      </c>
      <c r="B14" s="25">
        <v>8.9435438792621579E-3</v>
      </c>
      <c r="C14" s="3">
        <v>1.0085917071348524E-2</v>
      </c>
      <c r="D14" s="6">
        <v>7.8066914498141279E-3</v>
      </c>
      <c r="E14" s="23">
        <v>5.175983436853002E-3</v>
      </c>
      <c r="F14" s="3">
        <v>8.385744234800839E-3</v>
      </c>
      <c r="G14" s="6">
        <v>2.0449897750511249E-3</v>
      </c>
    </row>
    <row r="15" spans="1:7" x14ac:dyDescent="0.45">
      <c r="A15" s="37" t="s">
        <v>74</v>
      </c>
      <c r="B15" s="25">
        <v>2.8880193776784045E-3</v>
      </c>
      <c r="C15" s="3">
        <v>3.3619723571161747E-3</v>
      </c>
      <c r="D15" s="6">
        <v>2.4163568773234202E-3</v>
      </c>
      <c r="E15" s="23">
        <v>1.0351966873706005E-3</v>
      </c>
      <c r="F15" s="3">
        <v>2.0964360587002098E-3</v>
      </c>
      <c r="G15" s="6">
        <v>0</v>
      </c>
    </row>
    <row r="16" spans="1:7" x14ac:dyDescent="0.45">
      <c r="A16" s="37" t="s">
        <v>75</v>
      </c>
      <c r="B16" s="25">
        <v>2.9811812930873858E-3</v>
      </c>
      <c r="C16" s="3">
        <v>2.2413149047441163E-3</v>
      </c>
      <c r="D16" s="6">
        <v>3.7174721189591085E-3</v>
      </c>
      <c r="E16" s="23">
        <v>3.105590062111801E-3</v>
      </c>
      <c r="F16" s="3">
        <v>0</v>
      </c>
      <c r="G16" s="6">
        <v>6.1349693251533744E-3</v>
      </c>
    </row>
    <row r="17" spans="1:7" x14ac:dyDescent="0.45">
      <c r="A17" s="37" t="s">
        <v>76</v>
      </c>
      <c r="B17" s="25">
        <v>6.6144959940376367E-3</v>
      </c>
      <c r="C17" s="3">
        <v>4.6694060515502416E-3</v>
      </c>
      <c r="D17" s="6">
        <v>8.5501858736059481E-3</v>
      </c>
      <c r="E17" s="23">
        <v>2.070393374741201E-3</v>
      </c>
      <c r="F17" s="3">
        <v>0</v>
      </c>
      <c r="G17" s="6">
        <v>4.0899795501022499E-3</v>
      </c>
    </row>
    <row r="18" spans="1:7" x14ac:dyDescent="0.45">
      <c r="A18" s="37" t="s">
        <v>77</v>
      </c>
      <c r="B18" s="25">
        <v>9.5956772871250238E-3</v>
      </c>
      <c r="C18" s="3">
        <v>7.0974971983563681E-3</v>
      </c>
      <c r="D18" s="6">
        <v>1.2081784386617103E-2</v>
      </c>
      <c r="E18" s="23">
        <v>1.4492753623188406E-2</v>
      </c>
      <c r="F18" s="3">
        <v>8.385744234800839E-3</v>
      </c>
      <c r="G18" s="6">
        <v>2.0449897750511249E-2</v>
      </c>
    </row>
    <row r="19" spans="1:7" x14ac:dyDescent="0.45">
      <c r="A19" s="37" t="s">
        <v>78</v>
      </c>
      <c r="B19" s="25">
        <v>2.645798397615055E-2</v>
      </c>
      <c r="C19" s="3">
        <v>2.1479267837131114E-2</v>
      </c>
      <c r="D19" s="6">
        <v>3.1412639405204466E-2</v>
      </c>
      <c r="E19" s="23">
        <v>4.9689440993788817E-2</v>
      </c>
      <c r="F19" s="3">
        <v>3.7735849056603772E-2</v>
      </c>
      <c r="G19" s="6">
        <v>6.1349693251533742E-2</v>
      </c>
    </row>
    <row r="20" spans="1:7" x14ac:dyDescent="0.45">
      <c r="A20" s="37" t="s">
        <v>79</v>
      </c>
      <c r="B20" s="25">
        <v>2.7296441214831373E-2</v>
      </c>
      <c r="C20" s="3">
        <v>2.7082555098991403E-2</v>
      </c>
      <c r="D20" s="6">
        <v>2.7509293680297402E-2</v>
      </c>
      <c r="E20" s="23">
        <v>3.7267080745341616E-2</v>
      </c>
      <c r="F20" s="3">
        <v>3.9832285115303984E-2</v>
      </c>
      <c r="G20" s="6">
        <v>3.4764826175869123E-2</v>
      </c>
    </row>
    <row r="21" spans="1:7" x14ac:dyDescent="0.45">
      <c r="A21" s="37" t="s">
        <v>80</v>
      </c>
      <c r="B21" s="25">
        <v>3.102291783119061E-2</v>
      </c>
      <c r="C21" s="3">
        <v>2.9323870003735521E-2</v>
      </c>
      <c r="D21" s="6">
        <v>3.2713754646840155E-2</v>
      </c>
      <c r="E21" s="23">
        <v>3.7267080745341616E-2</v>
      </c>
      <c r="F21" s="3">
        <v>3.9832285115303984E-2</v>
      </c>
      <c r="G21" s="6">
        <v>3.4764826175869123E-2</v>
      </c>
    </row>
    <row r="22" spans="1:7" x14ac:dyDescent="0.45">
      <c r="A22" s="37" t="s">
        <v>81</v>
      </c>
      <c r="B22" s="25">
        <v>2.8880193776784052E-2</v>
      </c>
      <c r="C22" s="3">
        <v>2.8389988793425476E-2</v>
      </c>
      <c r="D22" s="6">
        <v>2.9368029739776959E-2</v>
      </c>
      <c r="E22" s="23">
        <v>2.4844720496894408E-2</v>
      </c>
      <c r="F22" s="3">
        <v>2.0964360587002098E-2</v>
      </c>
      <c r="G22" s="6">
        <v>2.8629856850715747E-2</v>
      </c>
    </row>
    <row r="23" spans="1:7" x14ac:dyDescent="0.45">
      <c r="A23" s="37" t="s">
        <v>82</v>
      </c>
      <c r="B23" s="25">
        <v>3.6892118501956402E-2</v>
      </c>
      <c r="C23" s="3">
        <v>3.2872618602913704E-2</v>
      </c>
      <c r="D23" s="6">
        <v>4.08921933085502E-2</v>
      </c>
      <c r="E23" s="23">
        <v>3.8302277432712216E-2</v>
      </c>
      <c r="F23" s="3">
        <v>2.9350104821802937E-2</v>
      </c>
      <c r="G23" s="6">
        <v>4.7034764826175871E-2</v>
      </c>
    </row>
    <row r="24" spans="1:7" x14ac:dyDescent="0.45">
      <c r="A24" s="37" t="s">
        <v>83</v>
      </c>
      <c r="B24" s="25">
        <v>4.8164710266443075E-2</v>
      </c>
      <c r="C24" s="3">
        <v>4.3892416884572287E-2</v>
      </c>
      <c r="D24" s="6">
        <v>5.2416356877323426E-2</v>
      </c>
      <c r="E24" s="23">
        <v>5.1759834368530024E-2</v>
      </c>
      <c r="F24" s="3">
        <v>3.9832285115303984E-2</v>
      </c>
      <c r="G24" s="6">
        <v>6.3394683026584867E-2</v>
      </c>
    </row>
    <row r="25" spans="1:7" x14ac:dyDescent="0.45">
      <c r="A25" s="37" t="s">
        <v>84</v>
      </c>
      <c r="B25" s="25">
        <v>4.7512576858580215E-2</v>
      </c>
      <c r="C25" s="3">
        <v>4.5013074336944341E-2</v>
      </c>
      <c r="D25" s="6">
        <v>0.05</v>
      </c>
      <c r="E25" s="23">
        <v>5.4865424430641824E-2</v>
      </c>
      <c r="F25" s="3">
        <v>4.6121593291404611E-2</v>
      </c>
      <c r="G25" s="6">
        <v>6.3394683026584867E-2</v>
      </c>
    </row>
    <row r="26" spans="1:7" x14ac:dyDescent="0.45">
      <c r="A26" s="37" t="s">
        <v>85</v>
      </c>
      <c r="B26" s="25">
        <v>5.0773243897894546E-2</v>
      </c>
      <c r="C26" s="3">
        <v>5.0803137840866645E-2</v>
      </c>
      <c r="D26" s="6">
        <v>5.0743494423791828E-2</v>
      </c>
      <c r="E26" s="23">
        <v>5.5900621118012424E-2</v>
      </c>
      <c r="F26" s="3">
        <v>4.40251572327044E-2</v>
      </c>
      <c r="G26" s="6">
        <v>6.7484662576687116E-2</v>
      </c>
    </row>
    <row r="27" spans="1:7" x14ac:dyDescent="0.45">
      <c r="A27" s="37" t="s">
        <v>86</v>
      </c>
      <c r="B27" s="25">
        <v>6.1207378423700394E-2</v>
      </c>
      <c r="C27" s="3">
        <v>5.416511019798282E-2</v>
      </c>
      <c r="D27" s="6">
        <v>6.8215613382899637E-2</v>
      </c>
      <c r="E27" s="23">
        <v>6.1076604554865424E-2</v>
      </c>
      <c r="F27" s="3">
        <v>6.0796645702306078E-2</v>
      </c>
      <c r="G27" s="6">
        <v>6.1349693251533742E-2</v>
      </c>
    </row>
    <row r="28" spans="1:7" x14ac:dyDescent="0.45">
      <c r="A28" s="37" t="s">
        <v>87</v>
      </c>
      <c r="B28" s="25">
        <v>6.8939817402645806E-2</v>
      </c>
      <c r="C28" s="3">
        <v>6.2009712364587216E-2</v>
      </c>
      <c r="D28" s="6">
        <v>7.583643122676581E-2</v>
      </c>
      <c r="E28" s="23">
        <v>5.6935817805383024E-2</v>
      </c>
      <c r="F28" s="3">
        <v>6.4989517819706494E-2</v>
      </c>
      <c r="G28" s="6">
        <v>4.9079754601226995E-2</v>
      </c>
    </row>
    <row r="29" spans="1:7" x14ac:dyDescent="0.45">
      <c r="A29" s="37" t="s">
        <v>88</v>
      </c>
      <c r="B29" s="25">
        <v>7.5088503819638538E-2</v>
      </c>
      <c r="C29" s="3">
        <v>7.0227867015315651E-2</v>
      </c>
      <c r="D29" s="6">
        <v>7.9925650557620839E-2</v>
      </c>
      <c r="E29" s="23">
        <v>9.7308488612836433E-2</v>
      </c>
      <c r="F29" s="3">
        <v>0.10272536687631027</v>
      </c>
      <c r="G29" s="6">
        <v>9.202453987730061E-2</v>
      </c>
    </row>
    <row r="30" spans="1:7" x14ac:dyDescent="0.45">
      <c r="A30" s="37" t="s">
        <v>89</v>
      </c>
      <c r="B30" s="25">
        <v>8.6361095584125205E-2</v>
      </c>
      <c r="C30" s="3">
        <v>8.3488980201718341E-2</v>
      </c>
      <c r="D30" s="6">
        <v>8.9219330855018597E-2</v>
      </c>
      <c r="E30" s="23">
        <v>7.5569358178053825E-2</v>
      </c>
      <c r="F30" s="3">
        <v>8.385744234800839E-2</v>
      </c>
      <c r="G30" s="6">
        <v>6.7484662576687116E-2</v>
      </c>
    </row>
    <row r="31" spans="1:7" x14ac:dyDescent="0.45">
      <c r="A31" s="37" t="s">
        <v>90</v>
      </c>
      <c r="B31" s="25">
        <v>7.2014160611142172E-2</v>
      </c>
      <c r="C31" s="3">
        <v>7.1722076951811722E-2</v>
      </c>
      <c r="D31" s="6">
        <v>7.2304832713754652E-2</v>
      </c>
      <c r="E31" s="23">
        <v>7.6604554865424432E-2</v>
      </c>
      <c r="F31" s="3">
        <v>6.9182389937106917E-2</v>
      </c>
      <c r="G31" s="6">
        <v>8.3844580777096112E-2</v>
      </c>
    </row>
    <row r="32" spans="1:7" x14ac:dyDescent="0.45">
      <c r="A32" s="37" t="s">
        <v>91</v>
      </c>
      <c r="B32" s="25">
        <v>7.6951742127818162E-2</v>
      </c>
      <c r="C32" s="3">
        <v>8.1621217781098251E-2</v>
      </c>
      <c r="D32" s="6">
        <v>7.2304832713754666E-2</v>
      </c>
      <c r="E32" s="23">
        <v>8.3850931677018639E-2</v>
      </c>
      <c r="F32" s="3">
        <v>9.4339622641509441E-2</v>
      </c>
      <c r="G32" s="6">
        <v>7.3619631901840496E-2</v>
      </c>
    </row>
    <row r="33" spans="1:7" x14ac:dyDescent="0.45">
      <c r="A33" s="37" t="s">
        <v>92</v>
      </c>
      <c r="B33" s="25">
        <v>7.1920998695733193E-2</v>
      </c>
      <c r="C33" s="3">
        <v>8.2368322749346273E-2</v>
      </c>
      <c r="D33" s="6">
        <v>6.152416356877325E-2</v>
      </c>
      <c r="E33" s="23">
        <v>7.4534161490683232E-2</v>
      </c>
      <c r="F33" s="3">
        <v>9.6436058700209645E-2</v>
      </c>
      <c r="G33" s="6">
        <v>5.3169734151329244E-2</v>
      </c>
    </row>
    <row r="34" spans="1:7" x14ac:dyDescent="0.45">
      <c r="A34" s="37" t="s">
        <v>93</v>
      </c>
      <c r="B34" s="25">
        <v>6.6703931432830266E-2</v>
      </c>
      <c r="C34" s="3">
        <v>7.8446021666044072E-2</v>
      </c>
      <c r="D34" s="6">
        <v>5.5018587360594798E-2</v>
      </c>
      <c r="E34" s="23">
        <v>5.5900621118012424E-2</v>
      </c>
      <c r="F34" s="3">
        <v>5.8700209643605873E-2</v>
      </c>
      <c r="G34" s="6">
        <v>5.3169734151329244E-2</v>
      </c>
    </row>
    <row r="35" spans="1:7" ht="14.65" thickBot="1" x14ac:dyDescent="0.5">
      <c r="A35" s="38" t="s">
        <v>94</v>
      </c>
      <c r="B35" s="26">
        <v>4.6301471958263458E-2</v>
      </c>
      <c r="C35" s="8">
        <v>5.6032872618602909E-2</v>
      </c>
      <c r="D35" s="9">
        <v>3.6617100371747223E-2</v>
      </c>
      <c r="E35" s="24">
        <v>3.1055900621118012E-2</v>
      </c>
      <c r="F35" s="8">
        <v>3.5639412997903561E-2</v>
      </c>
      <c r="G35" s="9">
        <v>2.6584867075664622E-2</v>
      </c>
    </row>
    <row r="36" spans="1:7" x14ac:dyDescent="0.45">
      <c r="B36" s="11">
        <f>SUM(B12:B35)</f>
        <v>1</v>
      </c>
      <c r="C36" s="11">
        <f t="shared" ref="C36:G36" si="0">SUM(C12:C35)</f>
        <v>1</v>
      </c>
      <c r="D36" s="11">
        <f t="shared" si="0"/>
        <v>1</v>
      </c>
      <c r="E36" s="11">
        <f t="shared" si="0"/>
        <v>0.99999999999999989</v>
      </c>
      <c r="F36" s="11">
        <f t="shared" si="0"/>
        <v>1</v>
      </c>
      <c r="G36" s="11">
        <f t="shared" si="0"/>
        <v>1</v>
      </c>
    </row>
  </sheetData>
  <mergeCells count="16">
    <mergeCell ref="B9:D9"/>
    <mergeCell ref="E9:G9"/>
    <mergeCell ref="B10:D10"/>
    <mergeCell ref="E10:G10"/>
    <mergeCell ref="B6:D6"/>
    <mergeCell ref="E6:G6"/>
    <mergeCell ref="B7:D7"/>
    <mergeCell ref="E7:G7"/>
    <mergeCell ref="B8:D8"/>
    <mergeCell ref="E8:G8"/>
    <mergeCell ref="A1:G2"/>
    <mergeCell ref="A3:G3"/>
    <mergeCell ref="B4:D4"/>
    <mergeCell ref="E4:G4"/>
    <mergeCell ref="B5:D5"/>
    <mergeCell ref="E5:G5"/>
  </mergeCells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D36"/>
  <sheetViews>
    <sheetView workbookViewId="0">
      <selection activeCell="A4" sqref="A4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ht="14.65" thickBot="1" x14ac:dyDescent="0.5">
      <c r="A3" s="100" t="s">
        <v>157</v>
      </c>
      <c r="B3" s="91"/>
      <c r="C3" s="91"/>
      <c r="D3" s="92"/>
    </row>
    <row r="4" spans="1:4" x14ac:dyDescent="0.45">
      <c r="A4" s="60" t="s">
        <v>68</v>
      </c>
      <c r="B4" s="101">
        <v>230</v>
      </c>
      <c r="C4" s="102"/>
      <c r="D4" s="103"/>
    </row>
    <row r="5" spans="1:4" x14ac:dyDescent="0.45">
      <c r="A5" s="61" t="s">
        <v>0</v>
      </c>
      <c r="B5" s="87" t="s">
        <v>113</v>
      </c>
      <c r="C5" s="88"/>
      <c r="D5" s="89"/>
    </row>
    <row r="6" spans="1:4" x14ac:dyDescent="0.45">
      <c r="A6" s="61" t="s">
        <v>98</v>
      </c>
      <c r="B6" s="87" t="s">
        <v>114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4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6.8823124569855473E-3</v>
      </c>
      <c r="C12" s="3">
        <v>6.9735006973500697E-3</v>
      </c>
      <c r="D12" s="6">
        <v>6.793478260869565E-3</v>
      </c>
    </row>
    <row r="13" spans="1:4" x14ac:dyDescent="0.45">
      <c r="A13" s="61" t="s">
        <v>72</v>
      </c>
      <c r="B13" s="23">
        <v>1.3764624913971094E-3</v>
      </c>
      <c r="C13" s="3">
        <v>0</v>
      </c>
      <c r="D13" s="6">
        <v>2.717391304347826E-3</v>
      </c>
    </row>
    <row r="14" spans="1:4" x14ac:dyDescent="0.45">
      <c r="A14" s="61" t="s">
        <v>73</v>
      </c>
      <c r="B14" s="23">
        <v>1.3764624913971094E-3</v>
      </c>
      <c r="C14" s="3">
        <v>2.7894002789400278E-3</v>
      </c>
      <c r="D14" s="6">
        <v>0</v>
      </c>
    </row>
    <row r="15" spans="1:4" x14ac:dyDescent="0.45">
      <c r="A15" s="61" t="s">
        <v>74</v>
      </c>
      <c r="B15" s="23">
        <v>2.0646937370956643E-3</v>
      </c>
      <c r="C15" s="3">
        <v>2.7894002789400278E-3</v>
      </c>
      <c r="D15" s="6">
        <v>1.358695652173913E-3</v>
      </c>
    </row>
    <row r="16" spans="1:4" x14ac:dyDescent="0.45">
      <c r="A16" s="61" t="s">
        <v>75</v>
      </c>
      <c r="B16" s="23">
        <v>4.817618719889883E-3</v>
      </c>
      <c r="C16" s="3">
        <v>2.7894002789400278E-3</v>
      </c>
      <c r="D16" s="6">
        <v>6.793478260869565E-3</v>
      </c>
    </row>
    <row r="17" spans="1:4" x14ac:dyDescent="0.45">
      <c r="A17" s="61" t="s">
        <v>76</v>
      </c>
      <c r="B17" s="23">
        <v>8.2587749483826571E-3</v>
      </c>
      <c r="C17" s="3">
        <v>6.9735006973500697E-3</v>
      </c>
      <c r="D17" s="6">
        <v>9.5108695652173919E-3</v>
      </c>
    </row>
    <row r="18" spans="1:4" x14ac:dyDescent="0.45">
      <c r="A18" s="61" t="s">
        <v>77</v>
      </c>
      <c r="B18" s="23">
        <v>3.9917412250516177E-2</v>
      </c>
      <c r="C18" s="3">
        <v>1.3947001394700139E-2</v>
      </c>
      <c r="D18" s="6">
        <v>6.5217391304347824E-2</v>
      </c>
    </row>
    <row r="19" spans="1:4" x14ac:dyDescent="0.45">
      <c r="A19" s="61" t="s">
        <v>78</v>
      </c>
      <c r="B19" s="23">
        <v>7.7081899518238128E-2</v>
      </c>
      <c r="C19" s="3">
        <v>2.6499302649930265E-2</v>
      </c>
      <c r="D19" s="6">
        <v>0.12635869565217392</v>
      </c>
    </row>
    <row r="20" spans="1:4" x14ac:dyDescent="0.45">
      <c r="A20" s="61" t="s">
        <v>79</v>
      </c>
      <c r="B20" s="23">
        <v>6.8134893324156912E-2</v>
      </c>
      <c r="C20" s="3">
        <v>2.2315202231520222E-2</v>
      </c>
      <c r="D20" s="6">
        <v>0.11277173913043478</v>
      </c>
    </row>
    <row r="21" spans="1:4" x14ac:dyDescent="0.45">
      <c r="A21" s="61" t="s">
        <v>80</v>
      </c>
      <c r="B21" s="23">
        <v>5.3682037164487266E-2</v>
      </c>
      <c r="C21" s="3">
        <v>4.0446304044630406E-2</v>
      </c>
      <c r="D21" s="6">
        <v>6.6576086956521743E-2</v>
      </c>
    </row>
    <row r="22" spans="1:4" x14ac:dyDescent="0.45">
      <c r="A22" s="61" t="s">
        <v>81</v>
      </c>
      <c r="B22" s="23">
        <v>3.8540949759119064E-2</v>
      </c>
      <c r="C22" s="3">
        <v>4.0446304044630406E-2</v>
      </c>
      <c r="D22" s="6">
        <v>3.6684782608695655E-2</v>
      </c>
    </row>
    <row r="23" spans="1:4" x14ac:dyDescent="0.45">
      <c r="A23" s="61" t="s">
        <v>82</v>
      </c>
      <c r="B23" s="23">
        <v>6.1940812112869927E-2</v>
      </c>
      <c r="C23" s="3">
        <v>5.9972105997210597E-2</v>
      </c>
      <c r="D23" s="6">
        <v>6.3858695652173919E-2</v>
      </c>
    </row>
    <row r="24" spans="1:4" x14ac:dyDescent="0.45">
      <c r="A24" s="61" t="s">
        <v>83</v>
      </c>
      <c r="B24" s="23">
        <v>5.9187887130075709E-2</v>
      </c>
      <c r="C24" s="3">
        <v>6.1366806136680614E-2</v>
      </c>
      <c r="D24" s="6">
        <v>5.7065217391304345E-2</v>
      </c>
    </row>
    <row r="25" spans="1:4" x14ac:dyDescent="0.45">
      <c r="A25" s="61" t="s">
        <v>84</v>
      </c>
      <c r="B25" s="23">
        <v>4.0605643496214726E-2</v>
      </c>
      <c r="C25" s="3">
        <v>3.2078103207810321E-2</v>
      </c>
      <c r="D25" s="6">
        <v>4.8913043478260872E-2</v>
      </c>
    </row>
    <row r="26" spans="1:4" x14ac:dyDescent="0.45">
      <c r="A26" s="61" t="s">
        <v>85</v>
      </c>
      <c r="B26" s="23">
        <v>5.2305574673090161E-2</v>
      </c>
      <c r="C26" s="3">
        <v>5.2998605299860529E-2</v>
      </c>
      <c r="D26" s="6">
        <v>5.1630434782608696E-2</v>
      </c>
    </row>
    <row r="27" spans="1:4" x14ac:dyDescent="0.45">
      <c r="A27" s="61" t="s">
        <v>86</v>
      </c>
      <c r="B27" s="23">
        <v>4.8864418444597386E-2</v>
      </c>
      <c r="C27" s="3">
        <v>5.4393305439330547E-2</v>
      </c>
      <c r="D27" s="6">
        <v>4.3478260869565216E-2</v>
      </c>
    </row>
    <row r="28" spans="1:4" x14ac:dyDescent="0.45">
      <c r="A28" s="61" t="s">
        <v>87</v>
      </c>
      <c r="B28" s="23">
        <v>5.7811424638678596E-2</v>
      </c>
      <c r="C28" s="3">
        <v>7.5313807531380755E-2</v>
      </c>
      <c r="D28" s="6">
        <v>4.0760869565217392E-2</v>
      </c>
    </row>
    <row r="29" spans="1:4" x14ac:dyDescent="0.45">
      <c r="A29" s="61" t="s">
        <v>88</v>
      </c>
      <c r="B29" s="23">
        <v>8.8093599449415E-2</v>
      </c>
      <c r="C29" s="3">
        <v>0.12691771269177127</v>
      </c>
      <c r="D29" s="6">
        <v>5.0271739130434784E-2</v>
      </c>
    </row>
    <row r="30" spans="1:4" x14ac:dyDescent="0.45">
      <c r="A30" s="61" t="s">
        <v>89</v>
      </c>
      <c r="B30" s="23">
        <v>9.4287680660701992E-2</v>
      </c>
      <c r="C30" s="3">
        <v>0.12412831241283125</v>
      </c>
      <c r="D30" s="6">
        <v>6.5217391304347824E-2</v>
      </c>
    </row>
    <row r="31" spans="1:4" x14ac:dyDescent="0.45">
      <c r="A31" s="61" t="s">
        <v>90</v>
      </c>
      <c r="B31" s="23">
        <v>6.8134893324156912E-2</v>
      </c>
      <c r="C31" s="3">
        <v>9.7629009762900981E-2</v>
      </c>
      <c r="D31" s="6">
        <v>3.940217391304348E-2</v>
      </c>
    </row>
    <row r="32" spans="1:4" x14ac:dyDescent="0.45">
      <c r="A32" s="61" t="s">
        <v>91</v>
      </c>
      <c r="B32" s="23">
        <v>4.4735030970406056E-2</v>
      </c>
      <c r="C32" s="3">
        <v>5.7182705718270568E-2</v>
      </c>
      <c r="D32" s="6">
        <v>3.2608695652173912E-2</v>
      </c>
    </row>
    <row r="33" spans="1:4" x14ac:dyDescent="0.45">
      <c r="A33" s="61" t="s">
        <v>92</v>
      </c>
      <c r="B33" s="23">
        <v>4.6799724707501718E-2</v>
      </c>
      <c r="C33" s="3">
        <v>5.2998605299860529E-2</v>
      </c>
      <c r="D33" s="6">
        <v>4.0760869565217392E-2</v>
      </c>
    </row>
    <row r="34" spans="1:4" x14ac:dyDescent="0.45">
      <c r="A34" s="61" t="s">
        <v>93</v>
      </c>
      <c r="B34" s="23">
        <v>2.0646937370956641E-2</v>
      </c>
      <c r="C34" s="3">
        <v>2.3709902370990237E-2</v>
      </c>
      <c r="D34" s="6">
        <v>1.7663043478260868E-2</v>
      </c>
    </row>
    <row r="35" spans="1:4" ht="14.65" thickBot="1" x14ac:dyDescent="0.5">
      <c r="A35" s="63" t="s">
        <v>94</v>
      </c>
      <c r="B35" s="24">
        <v>1.4452856159669649E-2</v>
      </c>
      <c r="C35" s="8">
        <v>1.5341701534170154E-2</v>
      </c>
      <c r="D35" s="9">
        <v>1.358695652173913E-2</v>
      </c>
    </row>
    <row r="36" spans="1:4" x14ac:dyDescent="0.45">
      <c r="B36" s="11">
        <f>SUM(B12:B35)</f>
        <v>1.0000000000000002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B4:D4"/>
    <mergeCell ref="B5:D5"/>
    <mergeCell ref="B6:D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7027-ECEE-4ABE-9EBA-7AD13E0E2457}">
  <sheetPr>
    <tabColor rgb="FFFFFF00"/>
  </sheetPr>
  <dimension ref="A1:J36"/>
  <sheetViews>
    <sheetView topLeftCell="A6" workbookViewId="0">
      <selection activeCell="O25" sqref="O25"/>
    </sheetView>
  </sheetViews>
  <sheetFormatPr defaultRowHeight="14.25" x14ac:dyDescent="0.45"/>
  <cols>
    <col min="1" max="1" width="17.796875" customWidth="1"/>
    <col min="2" max="7" width="17.796875" style="1" customWidth="1"/>
    <col min="8" max="10" width="17.796875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154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44"/>
      <c r="B4" s="145"/>
      <c r="C4" s="145"/>
      <c r="D4" s="145"/>
      <c r="E4" s="145"/>
      <c r="F4" s="145"/>
      <c r="G4" s="145"/>
      <c r="H4" s="145"/>
      <c r="I4" s="145"/>
      <c r="J4" s="146"/>
    </row>
    <row r="5" spans="1:10" x14ac:dyDescent="0.45">
      <c r="A5" s="36" t="s">
        <v>68</v>
      </c>
      <c r="B5" s="108">
        <v>251</v>
      </c>
      <c r="C5" s="102"/>
      <c r="D5" s="102"/>
      <c r="E5" s="102">
        <v>251</v>
      </c>
      <c r="F5" s="102"/>
      <c r="G5" s="106"/>
      <c r="H5" s="108">
        <v>251</v>
      </c>
      <c r="I5" s="102"/>
      <c r="J5" s="103"/>
    </row>
    <row r="6" spans="1:10" x14ac:dyDescent="0.45">
      <c r="A6" s="37" t="s">
        <v>0</v>
      </c>
      <c r="B6" s="99" t="s">
        <v>115</v>
      </c>
      <c r="C6" s="88"/>
      <c r="D6" s="88"/>
      <c r="E6" s="88" t="s">
        <v>115</v>
      </c>
      <c r="F6" s="88"/>
      <c r="G6" s="104"/>
      <c r="H6" s="99" t="s">
        <v>115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8"/>
      <c r="E7" s="88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8"/>
      <c r="E8" s="88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11</v>
      </c>
      <c r="C9" s="91"/>
      <c r="D9" s="91"/>
      <c r="E9" s="91">
        <v>3</v>
      </c>
      <c r="F9" s="91"/>
      <c r="G9" s="105"/>
      <c r="H9" s="100">
        <v>4</v>
      </c>
      <c r="I9" s="91"/>
      <c r="J9" s="92"/>
    </row>
    <row r="10" spans="1:10" x14ac:dyDescent="0.45">
      <c r="A10" s="39"/>
      <c r="B10" s="137" t="s">
        <v>134</v>
      </c>
      <c r="C10" s="85"/>
      <c r="D10" s="85"/>
      <c r="E10" s="85" t="s">
        <v>134</v>
      </c>
      <c r="F10" s="85"/>
      <c r="G10" s="109"/>
      <c r="H10" s="137" t="s">
        <v>134</v>
      </c>
      <c r="I10" s="85"/>
      <c r="J10" s="86"/>
    </row>
    <row r="11" spans="1:10" x14ac:dyDescent="0.45">
      <c r="A11" s="37" t="s">
        <v>65</v>
      </c>
      <c r="B11" s="10" t="s">
        <v>95</v>
      </c>
      <c r="C11" s="2" t="s">
        <v>66</v>
      </c>
      <c r="D11" s="2" t="s">
        <v>67</v>
      </c>
      <c r="E11" s="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1.5892612316489156E-3</v>
      </c>
      <c r="C12" s="3">
        <v>2.1470851925691138E-3</v>
      </c>
      <c r="D12" s="3">
        <v>1.0326834328891713E-3</v>
      </c>
      <c r="E12" s="3">
        <v>1.2620287111531788E-3</v>
      </c>
      <c r="F12" s="3">
        <v>1.5842839036755386E-3</v>
      </c>
      <c r="G12" s="20">
        <v>9.42507068803016E-4</v>
      </c>
      <c r="H12" s="25">
        <v>3.3619587063767587E-3</v>
      </c>
      <c r="I12" s="3">
        <v>5.140286999357464E-3</v>
      </c>
      <c r="J12" s="6">
        <v>1.4972301242701003E-3</v>
      </c>
    </row>
    <row r="13" spans="1:10" x14ac:dyDescent="0.45">
      <c r="A13" s="37" t="s">
        <v>72</v>
      </c>
      <c r="B13" s="25">
        <v>1.1376327873688869E-3</v>
      </c>
      <c r="C13" s="3">
        <v>1.2856797560294093E-3</v>
      </c>
      <c r="D13" s="3">
        <v>9.8992221413599655E-4</v>
      </c>
      <c r="E13" s="3">
        <v>1.1042751222590313E-3</v>
      </c>
      <c r="F13" s="3">
        <v>1.5842839036755386E-3</v>
      </c>
      <c r="G13" s="20">
        <v>6.2833804586867733E-4</v>
      </c>
      <c r="H13" s="25">
        <v>1.3155490590169925E-3</v>
      </c>
      <c r="I13" s="3">
        <v>1.4278574998215178E-3</v>
      </c>
      <c r="J13" s="6">
        <v>1.1977840994160803E-3</v>
      </c>
    </row>
    <row r="14" spans="1:10" x14ac:dyDescent="0.45">
      <c r="A14" s="37" t="s">
        <v>73</v>
      </c>
      <c r="B14" s="25">
        <v>6.4533637891198376E-4</v>
      </c>
      <c r="C14" s="3">
        <v>7.3069466134338115E-4</v>
      </c>
      <c r="D14" s="3">
        <v>5.6017196566658981E-4</v>
      </c>
      <c r="E14" s="3">
        <v>6.3101435557658939E-4</v>
      </c>
      <c r="F14" s="3">
        <v>9.5057034220532319E-4</v>
      </c>
      <c r="G14" s="20">
        <v>3.1416902293433867E-4</v>
      </c>
      <c r="H14" s="25">
        <v>1.7540654120226566E-3</v>
      </c>
      <c r="I14" s="3">
        <v>1.9990004997501249E-3</v>
      </c>
      <c r="J14" s="6">
        <v>1.4972301242701003E-3</v>
      </c>
    </row>
    <row r="15" spans="1:10" x14ac:dyDescent="0.45">
      <c r="A15" s="37" t="s">
        <v>74</v>
      </c>
      <c r="B15" s="25">
        <v>1.2457239553126853E-3</v>
      </c>
      <c r="C15" s="3">
        <v>6.68553473135293E-4</v>
      </c>
      <c r="D15" s="3">
        <v>1.8216279188852462E-3</v>
      </c>
      <c r="E15" s="3">
        <v>1.2620287111531788E-3</v>
      </c>
      <c r="F15" s="3">
        <v>3.1685678073510771E-4</v>
      </c>
      <c r="G15" s="20">
        <v>2.1991831605403709E-3</v>
      </c>
      <c r="H15" s="25">
        <v>1.023204823679883E-3</v>
      </c>
      <c r="I15" s="3">
        <v>0</v>
      </c>
      <c r="J15" s="6">
        <v>2.0961221739781402E-3</v>
      </c>
    </row>
    <row r="16" spans="1:10" x14ac:dyDescent="0.45">
      <c r="A16" s="37" t="s">
        <v>75</v>
      </c>
      <c r="B16" s="25">
        <v>2.6798047973393161E-3</v>
      </c>
      <c r="C16" s="3">
        <v>7.3926585971691053E-4</v>
      </c>
      <c r="D16" s="3">
        <v>4.6160735644052188E-3</v>
      </c>
      <c r="E16" s="3">
        <v>2.0507966556239155E-3</v>
      </c>
      <c r="F16" s="3">
        <v>1.9011406844106464E-3</v>
      </c>
      <c r="G16" s="20">
        <v>2.1991831605403709E-3</v>
      </c>
      <c r="H16" s="25">
        <v>1.3155490590169925E-3</v>
      </c>
      <c r="I16" s="3">
        <v>1.4278574998215178E-3</v>
      </c>
      <c r="J16" s="6">
        <v>1.1977840994160803E-3</v>
      </c>
    </row>
    <row r="17" spans="1:10" x14ac:dyDescent="0.45">
      <c r="A17" s="37" t="s">
        <v>76</v>
      </c>
      <c r="B17" s="25">
        <v>7.749387594861816E-3</v>
      </c>
      <c r="C17" s="3">
        <v>2.6442146982338186E-3</v>
      </c>
      <c r="D17" s="3">
        <v>1.2843332052516051E-2</v>
      </c>
      <c r="E17" s="3">
        <v>3.4705789556712416E-3</v>
      </c>
      <c r="F17" s="3">
        <v>2.8517110266159697E-3</v>
      </c>
      <c r="G17" s="20">
        <v>4.0841972981464029E-3</v>
      </c>
      <c r="H17" s="25">
        <v>3.2157865887082037E-3</v>
      </c>
      <c r="I17" s="3">
        <v>2.2845719997144284E-3</v>
      </c>
      <c r="J17" s="6">
        <v>4.1922443479562805E-3</v>
      </c>
    </row>
    <row r="18" spans="1:10" x14ac:dyDescent="0.45">
      <c r="A18" s="37" t="s">
        <v>77</v>
      </c>
      <c r="B18" s="25">
        <v>2.2682021914860011E-2</v>
      </c>
      <c r="C18" s="3">
        <v>1.0664713576263951E-2</v>
      </c>
      <c r="D18" s="3">
        <v>3.4672934226011781E-2</v>
      </c>
      <c r="E18" s="3">
        <v>9.6229689225429873E-3</v>
      </c>
      <c r="F18" s="3">
        <v>4.7528517110266158E-3</v>
      </c>
      <c r="G18" s="20">
        <v>1.4451775054979578E-2</v>
      </c>
      <c r="H18" s="25">
        <v>1.0670564589804496E-2</v>
      </c>
      <c r="I18" s="3">
        <v>6.5681444991789817E-3</v>
      </c>
      <c r="J18" s="6">
        <v>1.4972301242701004E-2</v>
      </c>
    </row>
    <row r="19" spans="1:10" x14ac:dyDescent="0.45">
      <c r="A19" s="37" t="s">
        <v>78</v>
      </c>
      <c r="B19" s="25">
        <v>4.9135462402333345E-2</v>
      </c>
      <c r="C19" s="3">
        <v>2.7477119185941867E-2</v>
      </c>
      <c r="D19" s="3">
        <v>7.0746298366190036E-2</v>
      </c>
      <c r="E19" s="3">
        <v>2.8868906767628964E-2</v>
      </c>
      <c r="F19" s="3">
        <v>1.8377693282636248E-2</v>
      </c>
      <c r="G19" s="20">
        <v>3.9271127866792335E-2</v>
      </c>
      <c r="H19" s="25">
        <v>1.9440891649917778E-2</v>
      </c>
      <c r="I19" s="3">
        <v>1.2850717498393661E-2</v>
      </c>
      <c r="J19" s="6">
        <v>2.6351250187153764E-2</v>
      </c>
    </row>
    <row r="20" spans="1:10" x14ac:dyDescent="0.45">
      <c r="A20" s="37" t="s">
        <v>79</v>
      </c>
      <c r="B20" s="25">
        <v>6.1890220219701531E-2</v>
      </c>
      <c r="C20" s="3">
        <v>4.0723906272231547E-2</v>
      </c>
      <c r="D20" s="3">
        <v>8.3010215904600573E-2</v>
      </c>
      <c r="E20" s="3">
        <v>4.5590787190408578E-2</v>
      </c>
      <c r="F20" s="3">
        <v>2.9784537389100127E-2</v>
      </c>
      <c r="G20" s="20">
        <v>6.1262959472196045E-2</v>
      </c>
      <c r="H20" s="25">
        <v>4.6482733418600403E-2</v>
      </c>
      <c r="I20" s="3">
        <v>2.3416862997072893E-2</v>
      </c>
      <c r="J20" s="6">
        <v>7.0669261865548741E-2</v>
      </c>
    </row>
    <row r="21" spans="1:10" x14ac:dyDescent="0.45">
      <c r="A21" s="37" t="s">
        <v>80</v>
      </c>
      <c r="B21" s="25">
        <v>7.0373771588914308E-2</v>
      </c>
      <c r="C21" s="3">
        <v>5.2175027299266825E-2</v>
      </c>
      <c r="D21" s="3">
        <v>8.8532827306573109E-2</v>
      </c>
      <c r="E21" s="3">
        <v>7.0358100646789712E-2</v>
      </c>
      <c r="F21" s="3">
        <v>4.3092522179974654E-2</v>
      </c>
      <c r="G21" s="20">
        <v>9.7392397109644993E-2</v>
      </c>
      <c r="H21" s="25">
        <v>6.8847067421889271E-2</v>
      </c>
      <c r="I21" s="3">
        <v>4.169343899478832E-2</v>
      </c>
      <c r="J21" s="6">
        <v>9.7319958077556515E-2</v>
      </c>
    </row>
    <row r="22" spans="1:10" x14ac:dyDescent="0.45">
      <c r="A22" s="37" t="s">
        <v>81</v>
      </c>
      <c r="B22" s="25">
        <v>7.4032818155249411E-2</v>
      </c>
      <c r="C22" s="3">
        <v>6.1586203113402099E-2</v>
      </c>
      <c r="D22" s="3">
        <v>8.6452494014231135E-2</v>
      </c>
      <c r="E22" s="3">
        <v>8.9288531314087399E-2</v>
      </c>
      <c r="F22" s="3">
        <v>7.0342205323193921E-2</v>
      </c>
      <c r="G22" s="20">
        <v>0.1080741438894125</v>
      </c>
      <c r="H22" s="25">
        <v>8.2587246482733412E-2</v>
      </c>
      <c r="I22" s="3">
        <v>6.5110301991861214E-2</v>
      </c>
      <c r="J22" s="6">
        <v>0.10091331037580475</v>
      </c>
    </row>
    <row r="23" spans="1:10" x14ac:dyDescent="0.45">
      <c r="A23" s="37" t="s">
        <v>82</v>
      </c>
      <c r="B23" s="25">
        <v>8.0386652453094259E-2</v>
      </c>
      <c r="C23" s="3">
        <v>7.610509889162978E-2</v>
      </c>
      <c r="D23" s="3">
        <v>8.4659373574514668E-2</v>
      </c>
      <c r="E23" s="3">
        <v>9.6387442814324029E-2</v>
      </c>
      <c r="F23" s="3">
        <v>9.6641318124207856E-2</v>
      </c>
      <c r="G23" s="20">
        <v>9.6135721017907641E-2</v>
      </c>
      <c r="H23" s="25">
        <v>0.10012790060295998</v>
      </c>
      <c r="I23" s="3">
        <v>0.10080673948739916</v>
      </c>
      <c r="J23" s="6">
        <v>9.9416080251534658E-2</v>
      </c>
    </row>
    <row r="24" spans="1:10" x14ac:dyDescent="0.45">
      <c r="A24" s="37" t="s">
        <v>83</v>
      </c>
      <c r="B24" s="25">
        <v>8.364597573995404E-2</v>
      </c>
      <c r="C24" s="3">
        <v>8.431023566795634E-2</v>
      </c>
      <c r="D24" s="3">
        <v>8.2983846486369459E-2</v>
      </c>
      <c r="E24" s="3">
        <v>8.7710995425145918E-2</v>
      </c>
      <c r="F24" s="3">
        <v>8.4600760456273766E-2</v>
      </c>
      <c r="G24" s="20">
        <v>9.0794847628023881E-2</v>
      </c>
      <c r="H24" s="25">
        <v>0.10319751507399963</v>
      </c>
      <c r="I24" s="3">
        <v>0.11108731348611409</v>
      </c>
      <c r="J24" s="6">
        <v>9.4924389878724355E-2</v>
      </c>
    </row>
    <row r="25" spans="1:10" x14ac:dyDescent="0.45">
      <c r="A25" s="37" t="s">
        <v>84</v>
      </c>
      <c r="B25" s="25">
        <v>7.8247125127210007E-2</v>
      </c>
      <c r="C25" s="3">
        <v>7.9200372904270566E-2</v>
      </c>
      <c r="D25" s="3">
        <v>7.729660439219721E-2</v>
      </c>
      <c r="E25" s="3">
        <v>9.4021138980911814E-2</v>
      </c>
      <c r="F25" s="3">
        <v>0.10678073510773131</v>
      </c>
      <c r="G25" s="20">
        <v>8.1369776939993713E-2</v>
      </c>
      <c r="H25" s="25">
        <v>9.8227663073268773E-2</v>
      </c>
      <c r="I25" s="3">
        <v>0.10566145498679232</v>
      </c>
      <c r="J25" s="6">
        <v>9.0432699505914066E-2</v>
      </c>
    </row>
    <row r="26" spans="1:10" x14ac:dyDescent="0.45">
      <c r="A26" s="37" t="s">
        <v>85</v>
      </c>
      <c r="B26" s="25">
        <v>7.756165588891295E-2</v>
      </c>
      <c r="C26" s="3">
        <v>8.3135267224251699E-2</v>
      </c>
      <c r="D26" s="3">
        <v>7.2000983793106113E-2</v>
      </c>
      <c r="E26" s="3">
        <v>8.9919545669663981E-2</v>
      </c>
      <c r="F26" s="3">
        <v>9.632446134347275E-2</v>
      </c>
      <c r="G26" s="20">
        <v>8.3568960100534093E-2</v>
      </c>
      <c r="H26" s="25">
        <v>8.8872647542481267E-2</v>
      </c>
      <c r="I26" s="3">
        <v>0.1036624544870422</v>
      </c>
      <c r="J26" s="6">
        <v>7.3364276089234917E-2</v>
      </c>
    </row>
    <row r="27" spans="1:10" x14ac:dyDescent="0.45">
      <c r="A27" s="37" t="s">
        <v>86</v>
      </c>
      <c r="B27" s="25">
        <v>7.8892639874385911E-2</v>
      </c>
      <c r="C27" s="3">
        <v>9.1300047941569581E-2</v>
      </c>
      <c r="D27" s="3">
        <v>6.6513294053115346E-2</v>
      </c>
      <c r="E27" s="3">
        <v>8.755324183625178E-2</v>
      </c>
      <c r="F27" s="3">
        <v>0.1023447401774398</v>
      </c>
      <c r="G27" s="20">
        <v>7.2887213320766572E-2</v>
      </c>
      <c r="H27" s="25">
        <v>8.7995614836469949E-2</v>
      </c>
      <c r="I27" s="3">
        <v>9.9950024987506242E-2</v>
      </c>
      <c r="J27" s="6">
        <v>7.546039826321306E-2</v>
      </c>
    </row>
    <row r="28" spans="1:10" x14ac:dyDescent="0.45">
      <c r="A28" s="37" t="s">
        <v>87</v>
      </c>
      <c r="B28" s="25">
        <v>7.6972683881404005E-2</v>
      </c>
      <c r="C28" s="3">
        <v>9.2511086845096152E-2</v>
      </c>
      <c r="D28" s="3">
        <v>6.1469251957688771E-2</v>
      </c>
      <c r="E28" s="3">
        <v>8.0454330336015151E-2</v>
      </c>
      <c r="F28" s="3">
        <v>9.0304182509505698E-2</v>
      </c>
      <c r="G28" s="20">
        <v>7.0688030160226206E-2</v>
      </c>
      <c r="H28" s="25">
        <v>7.9517632011693776E-2</v>
      </c>
      <c r="I28" s="3">
        <v>8.4243592489469554E-2</v>
      </c>
      <c r="J28" s="6">
        <v>7.4562060188650997E-2</v>
      </c>
    </row>
    <row r="29" spans="1:10" x14ac:dyDescent="0.45">
      <c r="A29" s="37" t="s">
        <v>88</v>
      </c>
      <c r="B29" s="25">
        <v>7.3359656327163777E-2</v>
      </c>
      <c r="C29" s="3">
        <v>8.8491194807910872E-2</v>
      </c>
      <c r="D29" s="3">
        <v>5.8262160551200662E-2</v>
      </c>
      <c r="E29" s="3">
        <v>5.9946363779775989E-2</v>
      </c>
      <c r="F29" s="3">
        <v>7.1609632446134344E-2</v>
      </c>
      <c r="G29" s="20">
        <v>4.8382029531888159E-2</v>
      </c>
      <c r="H29" s="25">
        <v>6.9724100127900604E-2</v>
      </c>
      <c r="I29" s="3">
        <v>7.9960019990005002E-2</v>
      </c>
      <c r="J29" s="6">
        <v>5.8990866896241952E-2</v>
      </c>
    </row>
    <row r="30" spans="1:10" x14ac:dyDescent="0.45">
      <c r="A30" s="37" t="s">
        <v>89</v>
      </c>
      <c r="B30" s="25">
        <v>5.8653906438889201E-2</v>
      </c>
      <c r="C30" s="3">
        <v>6.8813866141880772E-2</v>
      </c>
      <c r="D30" s="3">
        <v>4.8516878797352128E-2</v>
      </c>
      <c r="E30" s="3">
        <v>5.1427669979492031E-2</v>
      </c>
      <c r="F30" s="3">
        <v>6.0202788339670466E-2</v>
      </c>
      <c r="G30" s="20">
        <v>4.272698711907006E-2</v>
      </c>
      <c r="H30" s="25">
        <v>5.6860953773067789E-2</v>
      </c>
      <c r="I30" s="3">
        <v>6.6252587991718431E-2</v>
      </c>
      <c r="J30" s="6">
        <v>4.7013025902081153E-2</v>
      </c>
    </row>
    <row r="31" spans="1:10" x14ac:dyDescent="0.45">
      <c r="A31" s="37" t="s">
        <v>90</v>
      </c>
      <c r="B31" s="25">
        <v>3.7326769856869273E-2</v>
      </c>
      <c r="C31" s="3">
        <v>4.8281560438091092E-2</v>
      </c>
      <c r="D31" s="3">
        <v>2.63965003363348E-2</v>
      </c>
      <c r="E31" s="3">
        <v>3.4548035967818268E-2</v>
      </c>
      <c r="F31" s="3">
        <v>4.1191381495564006E-2</v>
      </c>
      <c r="G31" s="20">
        <v>2.7961043041156142E-2</v>
      </c>
      <c r="H31" s="25">
        <v>3.4642791887447469E-2</v>
      </c>
      <c r="I31" s="3">
        <v>3.9408866995073892E-2</v>
      </c>
      <c r="J31" s="6">
        <v>2.9645156460547988E-2</v>
      </c>
    </row>
    <row r="32" spans="1:10" x14ac:dyDescent="0.45">
      <c r="A32" s="37" t="s">
        <v>91</v>
      </c>
      <c r="B32" s="25">
        <v>2.7982769982440536E-2</v>
      </c>
      <c r="C32" s="3">
        <v>3.9468225710509487E-2</v>
      </c>
      <c r="D32" s="3">
        <v>1.6522934926226741E-2</v>
      </c>
      <c r="E32" s="3">
        <v>2.8711153178734815E-2</v>
      </c>
      <c r="F32" s="3">
        <v>3.1368821292775663E-2</v>
      </c>
      <c r="G32" s="20">
        <v>2.6076028903550111E-2</v>
      </c>
      <c r="H32" s="25">
        <v>2.411839941531153E-2</v>
      </c>
      <c r="I32" s="3">
        <v>2.5415863496823017E-2</v>
      </c>
      <c r="J32" s="6">
        <v>2.2757897888905525E-2</v>
      </c>
    </row>
    <row r="33" spans="1:10" x14ac:dyDescent="0.45">
      <c r="A33" s="37" t="s">
        <v>92</v>
      </c>
      <c r="B33" s="25">
        <v>1.8584189419248096E-2</v>
      </c>
      <c r="C33" s="3">
        <v>2.633929260185584E-2</v>
      </c>
      <c r="D33" s="3">
        <v>1.0846383136742788E-2</v>
      </c>
      <c r="E33" s="3">
        <v>2.0981227322921597E-2</v>
      </c>
      <c r="F33" s="3">
        <v>2.1863117870722433E-2</v>
      </c>
      <c r="G33" s="20">
        <v>2.0106817467797675E-2</v>
      </c>
      <c r="H33" s="25">
        <v>1.052439247213594E-2</v>
      </c>
      <c r="I33" s="3">
        <v>1.3421860498322268E-2</v>
      </c>
      <c r="J33" s="6">
        <v>7.4861506213505019E-3</v>
      </c>
    </row>
    <row r="34" spans="1:10" x14ac:dyDescent="0.45">
      <c r="A34" s="37" t="s">
        <v>93</v>
      </c>
      <c r="B34" s="25">
        <v>1.0710657512688449E-2</v>
      </c>
      <c r="C34" s="3">
        <v>1.4817459188238943E-2</v>
      </c>
      <c r="D34" s="3">
        <v>6.6130224801784817E-3</v>
      </c>
      <c r="E34" s="3">
        <v>8.6764473891781033E-3</v>
      </c>
      <c r="F34" s="3">
        <v>1.3941698352344741E-2</v>
      </c>
      <c r="G34" s="20">
        <v>3.4558592522777255E-3</v>
      </c>
      <c r="H34" s="25">
        <v>4.2389914123880873E-3</v>
      </c>
      <c r="I34" s="3">
        <v>5.4258584993217675E-3</v>
      </c>
      <c r="J34" s="6">
        <v>2.9944602485402006E-3</v>
      </c>
    </row>
    <row r="35" spans="1:10" ht="14.65" thickBot="1" x14ac:dyDescent="0.5">
      <c r="A35" s="38" t="s">
        <v>94</v>
      </c>
      <c r="B35" s="26">
        <v>4.7667134853631443E-3</v>
      </c>
      <c r="C35" s="8">
        <v>6.77767511386837E-3</v>
      </c>
      <c r="D35" s="8">
        <v>2.7602366705174329E-3</v>
      </c>
      <c r="E35" s="8">
        <v>6.1523899668717462E-3</v>
      </c>
      <c r="F35" s="8">
        <v>7.287705956907478E-3</v>
      </c>
      <c r="G35" s="21">
        <v>5.0267043669494187E-3</v>
      </c>
      <c r="H35" s="26">
        <v>2.1925817650283209E-3</v>
      </c>
      <c r="I35" s="8">
        <v>2.8557149996430355E-3</v>
      </c>
      <c r="J35" s="9">
        <v>1.4972301242701003E-3</v>
      </c>
    </row>
    <row r="36" spans="1:10" x14ac:dyDescent="0.45">
      <c r="B36" s="11">
        <f t="shared" ref="B36:J36" si="0">SUM(B12:B35)</f>
        <v>1.0002528370141257</v>
      </c>
      <c r="C36" s="11">
        <f t="shared" si="0"/>
        <v>1.0003938465652638</v>
      </c>
      <c r="D36" s="11">
        <f t="shared" si="0"/>
        <v>1.0001200521216496</v>
      </c>
      <c r="E36" s="11">
        <f t="shared" si="0"/>
        <v>1.0000000000000002</v>
      </c>
      <c r="F36" s="11">
        <f t="shared" si="0"/>
        <v>1</v>
      </c>
      <c r="G36" s="11">
        <f t="shared" si="0"/>
        <v>0.99999999999999989</v>
      </c>
      <c r="H36" s="11">
        <f t="shared" si="0"/>
        <v>1.0002558012059202</v>
      </c>
      <c r="I36" s="11">
        <f t="shared" si="0"/>
        <v>1.0000713928749911</v>
      </c>
      <c r="J36" s="11">
        <f t="shared" si="0"/>
        <v>1.000449169037281</v>
      </c>
    </row>
  </sheetData>
  <mergeCells count="21">
    <mergeCell ref="B10:D10"/>
    <mergeCell ref="E10:G10"/>
    <mergeCell ref="H10:J10"/>
    <mergeCell ref="B8:D8"/>
    <mergeCell ref="E8:G8"/>
    <mergeCell ref="H8:J8"/>
    <mergeCell ref="B9:D9"/>
    <mergeCell ref="E9:G9"/>
    <mergeCell ref="H9:J9"/>
    <mergeCell ref="B6:D6"/>
    <mergeCell ref="E6:G6"/>
    <mergeCell ref="H6:J6"/>
    <mergeCell ref="B7:D7"/>
    <mergeCell ref="E7:G7"/>
    <mergeCell ref="H7:J7"/>
    <mergeCell ref="A1:J2"/>
    <mergeCell ref="A3:J3"/>
    <mergeCell ref="A4:J4"/>
    <mergeCell ref="B5:D5"/>
    <mergeCell ref="E5:G5"/>
    <mergeCell ref="H5:J5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B3C9-33AD-417D-85C8-20F6973ED004}">
  <sheetPr>
    <tabColor rgb="FFFFFF00"/>
  </sheetPr>
  <dimension ref="A1:D36"/>
  <sheetViews>
    <sheetView workbookViewId="0">
      <selection activeCell="A10" sqref="A10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18" t="s">
        <v>68</v>
      </c>
      <c r="B5" s="102">
        <v>253</v>
      </c>
      <c r="C5" s="102"/>
      <c r="D5" s="103"/>
    </row>
    <row r="6" spans="1:4" x14ac:dyDescent="0.45">
      <c r="A6" s="4" t="s">
        <v>0</v>
      </c>
      <c r="B6" s="88" t="s">
        <v>116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2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1.4565126924677486E-3</v>
      </c>
      <c r="C12" s="3">
        <v>1.2386457473162677E-3</v>
      </c>
      <c r="D12" s="6">
        <v>1.6778523489932883E-3</v>
      </c>
    </row>
    <row r="13" spans="1:4" x14ac:dyDescent="0.45">
      <c r="A13" s="61" t="s">
        <v>72</v>
      </c>
      <c r="B13" s="23">
        <v>3.5372451102788183E-3</v>
      </c>
      <c r="C13" s="3">
        <v>2.4772914946325354E-3</v>
      </c>
      <c r="D13" s="6">
        <v>4.614093959731543E-3</v>
      </c>
    </row>
    <row r="14" spans="1:4" x14ac:dyDescent="0.45">
      <c r="A14" s="61" t="s">
        <v>73</v>
      </c>
      <c r="B14" s="23">
        <v>8.3229296712442784E-4</v>
      </c>
      <c r="C14" s="3">
        <v>1.6515276630883569E-3</v>
      </c>
      <c r="D14" s="6">
        <v>0</v>
      </c>
    </row>
    <row r="15" spans="1:4" x14ac:dyDescent="0.45">
      <c r="A15" s="61" t="s">
        <v>74</v>
      </c>
      <c r="B15" s="23">
        <v>3.1210986267166045E-3</v>
      </c>
      <c r="C15" s="3">
        <v>2.8901734104046241E-3</v>
      </c>
      <c r="D15" s="6">
        <v>3.3557046979865767E-3</v>
      </c>
    </row>
    <row r="16" spans="1:4" x14ac:dyDescent="0.45">
      <c r="A16" s="61" t="s">
        <v>75</v>
      </c>
      <c r="B16" s="23">
        <v>2.7049521431543907E-3</v>
      </c>
      <c r="C16" s="3">
        <v>2.4772914946325354E-3</v>
      </c>
      <c r="D16" s="6">
        <v>2.9362416107382543E-3</v>
      </c>
    </row>
    <row r="17" spans="1:4" x14ac:dyDescent="0.45">
      <c r="A17" s="61" t="s">
        <v>76</v>
      </c>
      <c r="B17" s="23">
        <v>3.9950062421972542E-2</v>
      </c>
      <c r="C17" s="3">
        <v>5.7803468208092498E-2</v>
      </c>
      <c r="D17" s="6">
        <v>2.1812080536912748E-2</v>
      </c>
    </row>
    <row r="18" spans="1:4" x14ac:dyDescent="0.45">
      <c r="A18" s="61" t="s">
        <v>77</v>
      </c>
      <c r="B18" s="23">
        <v>7.2617561381606341E-2</v>
      </c>
      <c r="C18" s="3">
        <v>9.8678777869529333E-2</v>
      </c>
      <c r="D18" s="6">
        <v>4.6140939597315439E-2</v>
      </c>
    </row>
    <row r="19" spans="1:4" x14ac:dyDescent="0.45">
      <c r="A19" s="61" t="s">
        <v>78</v>
      </c>
      <c r="B19" s="23">
        <v>4.5568039950062429E-2</v>
      </c>
      <c r="C19" s="3">
        <v>5.2023121387283239E-2</v>
      </c>
      <c r="D19" s="6">
        <v>3.9010067114093952E-2</v>
      </c>
    </row>
    <row r="20" spans="1:4" x14ac:dyDescent="0.45">
      <c r="A20" s="61" t="s">
        <v>79</v>
      </c>
      <c r="B20" s="23">
        <v>4.7440699126092389E-2</v>
      </c>
      <c r="C20" s="3">
        <v>6.3170933113129657E-2</v>
      </c>
      <c r="D20" s="6">
        <v>3.1459731543624157E-2</v>
      </c>
    </row>
    <row r="21" spans="1:4" x14ac:dyDescent="0.45">
      <c r="A21" s="61" t="s">
        <v>80</v>
      </c>
      <c r="B21" s="23">
        <v>3.8285476487723687E-2</v>
      </c>
      <c r="C21" s="3">
        <v>3.7159372419488031E-2</v>
      </c>
      <c r="D21" s="6">
        <v>3.942953020134228E-2</v>
      </c>
    </row>
    <row r="22" spans="1:4" x14ac:dyDescent="0.45">
      <c r="A22" s="61" t="s">
        <v>81</v>
      </c>
      <c r="B22" s="23">
        <v>5.5347482313774461E-2</v>
      </c>
      <c r="C22" s="3">
        <v>4.8307184145334442E-2</v>
      </c>
      <c r="D22" s="6">
        <v>6.25E-2</v>
      </c>
    </row>
    <row r="23" spans="1:4" x14ac:dyDescent="0.45">
      <c r="A23" s="61" t="s">
        <v>82</v>
      </c>
      <c r="B23" s="23">
        <v>5.3682896379525599E-2</v>
      </c>
      <c r="C23" s="3">
        <v>5.1197357555739065E-2</v>
      </c>
      <c r="D23" s="6">
        <v>5.6208053691275156E-2</v>
      </c>
    </row>
    <row r="24" spans="1:4" x14ac:dyDescent="0.45">
      <c r="A24" s="61" t="s">
        <v>83</v>
      </c>
      <c r="B24" s="23">
        <v>7.4906367041198518E-2</v>
      </c>
      <c r="C24" s="3">
        <v>8.1337737407101568E-2</v>
      </c>
      <c r="D24" s="6">
        <v>6.8372483221476502E-2</v>
      </c>
    </row>
    <row r="25" spans="1:4" x14ac:dyDescent="0.45">
      <c r="A25" s="61" t="s">
        <v>84</v>
      </c>
      <c r="B25" s="23">
        <v>8.8014981273408247E-2</v>
      </c>
      <c r="C25" s="3">
        <v>9.9917423616845594E-2</v>
      </c>
      <c r="D25" s="6">
        <v>7.5922818791946303E-2</v>
      </c>
    </row>
    <row r="26" spans="1:4" x14ac:dyDescent="0.45">
      <c r="A26" s="61" t="s">
        <v>85</v>
      </c>
      <c r="B26" s="23">
        <v>0.11048689138576781</v>
      </c>
      <c r="C26" s="3">
        <v>0.10322047894302232</v>
      </c>
      <c r="D26" s="6">
        <v>0.1178691275167785</v>
      </c>
    </row>
    <row r="27" spans="1:4" x14ac:dyDescent="0.45">
      <c r="A27" s="61" t="s">
        <v>86</v>
      </c>
      <c r="B27" s="23">
        <v>7.4906367041198518E-2</v>
      </c>
      <c r="C27" s="3">
        <v>5.2848885218827427E-2</v>
      </c>
      <c r="D27" s="6">
        <v>9.7315436241610737E-2</v>
      </c>
    </row>
    <row r="28" spans="1:4" x14ac:dyDescent="0.45">
      <c r="A28" s="61" t="s">
        <v>87</v>
      </c>
      <c r="B28" s="23">
        <v>8.1356637536412812E-2</v>
      </c>
      <c r="C28" s="3">
        <v>6.358381502890173E-2</v>
      </c>
      <c r="D28" s="6">
        <v>9.9412751677852337E-2</v>
      </c>
    </row>
    <row r="29" spans="1:4" x14ac:dyDescent="0.45">
      <c r="A29" s="61" t="s">
        <v>88</v>
      </c>
      <c r="B29" s="23">
        <v>5.1186017478152317E-2</v>
      </c>
      <c r="C29" s="3">
        <v>4.6242774566473993E-2</v>
      </c>
      <c r="D29" s="6">
        <v>5.620805369127517E-2</v>
      </c>
    </row>
    <row r="30" spans="1:4" x14ac:dyDescent="0.45">
      <c r="A30" s="61" t="s">
        <v>89</v>
      </c>
      <c r="B30" s="23">
        <v>3.2875572201414904E-2</v>
      </c>
      <c r="C30" s="3">
        <v>2.8075970272502068E-2</v>
      </c>
      <c r="D30" s="6">
        <v>3.7751677852348987E-2</v>
      </c>
    </row>
    <row r="31" spans="1:4" x14ac:dyDescent="0.45">
      <c r="A31" s="61" t="s">
        <v>90</v>
      </c>
      <c r="B31" s="23">
        <v>1.8102372034956307E-2</v>
      </c>
      <c r="C31" s="3">
        <v>1.4450867052023123E-2</v>
      </c>
      <c r="D31" s="6">
        <v>2.1812080536912751E-2</v>
      </c>
    </row>
    <row r="32" spans="1:4" x14ac:dyDescent="0.45">
      <c r="A32" s="61" t="s">
        <v>91</v>
      </c>
      <c r="B32" s="23">
        <v>2.8922180607573868E-2</v>
      </c>
      <c r="C32" s="3">
        <v>2.7663088356729978E-2</v>
      </c>
      <c r="D32" s="6">
        <v>3.0201342281879193E-2</v>
      </c>
    </row>
    <row r="33" spans="1:4" x14ac:dyDescent="0.45">
      <c r="A33" s="61" t="s">
        <v>92</v>
      </c>
      <c r="B33" s="23">
        <v>2.2471910112359553E-2</v>
      </c>
      <c r="C33" s="3">
        <v>2.7663088356729978E-2</v>
      </c>
      <c r="D33" s="6">
        <v>1.7197986577181208E-2</v>
      </c>
    </row>
    <row r="34" spans="1:4" x14ac:dyDescent="0.45">
      <c r="A34" s="61" t="s">
        <v>93</v>
      </c>
      <c r="B34" s="23">
        <v>3.8285476487723687E-2</v>
      </c>
      <c r="C34" s="3">
        <v>2.7250206440957887E-2</v>
      </c>
      <c r="D34" s="6">
        <v>4.9496644295302011E-2</v>
      </c>
    </row>
    <row r="35" spans="1:4" ht="14.65" thickBot="1" x14ac:dyDescent="0.5">
      <c r="A35" s="63" t="s">
        <v>94</v>
      </c>
      <c r="B35" s="24">
        <v>1.3940907199334166E-2</v>
      </c>
      <c r="C35" s="8">
        <v>8.670520231213872E-3</v>
      </c>
      <c r="D35" s="9">
        <v>1.9295302013422815E-2</v>
      </c>
    </row>
    <row r="36" spans="1:4" x14ac:dyDescent="0.45">
      <c r="B36" s="11">
        <f>SUM(B12:B35)</f>
        <v>1.0000000000000004</v>
      </c>
      <c r="C36" s="11">
        <f>SUM(C12:C35)</f>
        <v>1.0000000000000002</v>
      </c>
      <c r="D36" s="11">
        <f>SUM(D12:D35)</f>
        <v>0.99999999999999978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D36"/>
  <sheetViews>
    <sheetView workbookViewId="0">
      <selection activeCell="A10" sqref="A10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18" t="s">
        <v>68</v>
      </c>
      <c r="B5" s="102">
        <v>254</v>
      </c>
      <c r="C5" s="102"/>
      <c r="D5" s="103"/>
    </row>
    <row r="6" spans="1:4" x14ac:dyDescent="0.45">
      <c r="A6" s="4" t="s">
        <v>0</v>
      </c>
      <c r="B6" s="88" t="s">
        <v>11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4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2.6729559748427674E-2</v>
      </c>
      <c r="C17" s="3">
        <v>2.8301886792452831E-2</v>
      </c>
      <c r="D17" s="6">
        <v>2.5157232704402517E-2</v>
      </c>
    </row>
    <row r="18" spans="1:4" x14ac:dyDescent="0.45">
      <c r="A18" s="61" t="s">
        <v>77</v>
      </c>
      <c r="B18" s="23">
        <v>3.4591194968553458E-2</v>
      </c>
      <c r="C18" s="3">
        <v>5.0314465408805034E-2</v>
      </c>
      <c r="D18" s="6">
        <v>1.8867924528301886E-2</v>
      </c>
    </row>
    <row r="19" spans="1:4" x14ac:dyDescent="0.45">
      <c r="A19" s="61" t="s">
        <v>78</v>
      </c>
      <c r="B19" s="23">
        <v>9.276729559748427E-2</v>
      </c>
      <c r="C19" s="3">
        <v>0.14465408805031446</v>
      </c>
      <c r="D19" s="6">
        <v>4.0880503144654086E-2</v>
      </c>
    </row>
    <row r="20" spans="1:4" x14ac:dyDescent="0.45">
      <c r="A20" s="61" t="s">
        <v>79</v>
      </c>
      <c r="B20" s="23">
        <v>5.1886792452830191E-2</v>
      </c>
      <c r="C20" s="3">
        <v>7.2327044025157231E-2</v>
      </c>
      <c r="D20" s="6">
        <v>3.1446540880503145E-2</v>
      </c>
    </row>
    <row r="21" spans="1:4" x14ac:dyDescent="0.45">
      <c r="A21" s="61" t="s">
        <v>80</v>
      </c>
      <c r="B21" s="23">
        <v>6.761006289308176E-2</v>
      </c>
      <c r="C21" s="3">
        <v>6.6037735849056603E-2</v>
      </c>
      <c r="D21" s="6">
        <v>6.9182389937106917E-2</v>
      </c>
    </row>
    <row r="22" spans="1:4" x14ac:dyDescent="0.45">
      <c r="A22" s="61" t="s">
        <v>81</v>
      </c>
      <c r="B22" s="23">
        <v>5.9748427672955975E-2</v>
      </c>
      <c r="C22" s="3">
        <v>5.9748427672955975E-2</v>
      </c>
      <c r="D22" s="6">
        <v>5.9748427672955975E-2</v>
      </c>
    </row>
    <row r="23" spans="1:4" x14ac:dyDescent="0.45">
      <c r="A23" s="61" t="s">
        <v>82</v>
      </c>
      <c r="B23" s="23">
        <v>8.3333333333333329E-2</v>
      </c>
      <c r="C23" s="3">
        <v>8.4905660377358486E-2</v>
      </c>
      <c r="D23" s="6">
        <v>8.1761006289308172E-2</v>
      </c>
    </row>
    <row r="24" spans="1:4" x14ac:dyDescent="0.45">
      <c r="A24" s="61" t="s">
        <v>83</v>
      </c>
      <c r="B24" s="23">
        <v>0.10377358490566038</v>
      </c>
      <c r="C24" s="3">
        <v>9.4339622641509441E-2</v>
      </c>
      <c r="D24" s="6">
        <v>0.11320754716981132</v>
      </c>
    </row>
    <row r="25" spans="1:4" x14ac:dyDescent="0.45">
      <c r="A25" s="61" t="s">
        <v>84</v>
      </c>
      <c r="B25" s="23">
        <v>9.1194968553459113E-2</v>
      </c>
      <c r="C25" s="3">
        <v>0.11320754716981132</v>
      </c>
      <c r="D25" s="6">
        <v>6.9182389937106917E-2</v>
      </c>
    </row>
    <row r="26" spans="1:4" x14ac:dyDescent="0.45">
      <c r="A26" s="61" t="s">
        <v>85</v>
      </c>
      <c r="B26" s="23">
        <v>8.0188679245283015E-2</v>
      </c>
      <c r="C26" s="3">
        <v>6.9182389937106917E-2</v>
      </c>
      <c r="D26" s="6">
        <v>9.1194968553459113E-2</v>
      </c>
    </row>
    <row r="27" spans="1:4" x14ac:dyDescent="0.45">
      <c r="A27" s="61" t="s">
        <v>86</v>
      </c>
      <c r="B27" s="23">
        <v>7.8616352201257858E-2</v>
      </c>
      <c r="C27" s="3">
        <v>7.8616352201257858E-2</v>
      </c>
      <c r="D27" s="6">
        <v>7.8616352201257858E-2</v>
      </c>
    </row>
    <row r="28" spans="1:4" x14ac:dyDescent="0.45">
      <c r="A28" s="61" t="s">
        <v>87</v>
      </c>
      <c r="B28" s="23">
        <v>8.8050314465408799E-2</v>
      </c>
      <c r="C28" s="3">
        <v>5.9748427672955975E-2</v>
      </c>
      <c r="D28" s="6">
        <v>0.11635220125786164</v>
      </c>
    </row>
    <row r="29" spans="1:4" x14ac:dyDescent="0.45">
      <c r="A29" s="61" t="s">
        <v>88</v>
      </c>
      <c r="B29" s="23">
        <v>7.0754716981132074E-2</v>
      </c>
      <c r="C29" s="3">
        <v>4.0880503144654086E-2</v>
      </c>
      <c r="D29" s="6">
        <v>0.10062893081761007</v>
      </c>
    </row>
    <row r="30" spans="1:4" x14ac:dyDescent="0.45">
      <c r="A30" s="61" t="s">
        <v>89</v>
      </c>
      <c r="B30" s="23">
        <v>3.6163522012578615E-2</v>
      </c>
      <c r="C30" s="3">
        <v>9.433962264150943E-3</v>
      </c>
      <c r="D30" s="6">
        <v>6.2893081761006289E-2</v>
      </c>
    </row>
    <row r="31" spans="1:4" x14ac:dyDescent="0.45">
      <c r="A31" s="61" t="s">
        <v>90</v>
      </c>
      <c r="B31" s="23">
        <v>7.8616352201257862E-3</v>
      </c>
      <c r="C31" s="3">
        <v>6.2893081761006293E-3</v>
      </c>
      <c r="D31" s="6">
        <v>9.433962264150943E-3</v>
      </c>
    </row>
    <row r="32" spans="1:4" x14ac:dyDescent="0.45">
      <c r="A32" s="61" t="s">
        <v>91</v>
      </c>
      <c r="B32" s="23">
        <v>1.5723270440251573E-3</v>
      </c>
      <c r="C32" s="3">
        <v>3.1446540880503146E-3</v>
      </c>
      <c r="D32" s="6">
        <v>0</v>
      </c>
    </row>
    <row r="33" spans="1:4" x14ac:dyDescent="0.45">
      <c r="A33" s="61" t="s">
        <v>92</v>
      </c>
      <c r="B33" s="23">
        <v>1.5723270440251573E-3</v>
      </c>
      <c r="C33" s="3">
        <v>0</v>
      </c>
      <c r="D33" s="6">
        <v>3.1446540880503146E-3</v>
      </c>
    </row>
    <row r="34" spans="1:4" x14ac:dyDescent="0.45">
      <c r="A34" s="61" t="s">
        <v>93</v>
      </c>
      <c r="B34" s="23">
        <v>7.8616352201257862E-3</v>
      </c>
      <c r="C34" s="3">
        <v>1.2578616352201259E-2</v>
      </c>
      <c r="D34" s="6">
        <v>3.1446540880503146E-3</v>
      </c>
    </row>
    <row r="35" spans="1:4" ht="14.65" thickBot="1" x14ac:dyDescent="0.5">
      <c r="A35" s="63" t="s">
        <v>94</v>
      </c>
      <c r="B35" s="24">
        <v>1.5723270440251572E-2</v>
      </c>
      <c r="C35" s="8">
        <v>6.2893081761006293E-3</v>
      </c>
      <c r="D35" s="9">
        <v>2.5157232704402517E-2</v>
      </c>
    </row>
    <row r="36" spans="1:4" x14ac:dyDescent="0.45">
      <c r="B36" s="11">
        <f>SUM(B12:B35)</f>
        <v>1.0000000000000002</v>
      </c>
      <c r="C36" s="11">
        <f>SUM(C12:C35)</f>
        <v>0.99999999999999989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4CA3-8050-4D78-AE19-D06250C23D81}">
  <sheetPr>
    <tabColor rgb="FFFFFF00"/>
  </sheetPr>
  <dimension ref="A1:J31"/>
  <sheetViews>
    <sheetView workbookViewId="0">
      <selection activeCell="M16" sqref="M16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154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60" t="s">
        <v>68</v>
      </c>
      <c r="B5" s="101">
        <v>260</v>
      </c>
      <c r="C5" s="102"/>
      <c r="D5" s="103"/>
      <c r="E5" s="101">
        <v>260</v>
      </c>
      <c r="F5" s="102"/>
      <c r="G5" s="106"/>
      <c r="H5" s="108">
        <v>260</v>
      </c>
      <c r="I5" s="102"/>
      <c r="J5" s="103"/>
    </row>
    <row r="6" spans="1:10" x14ac:dyDescent="0.45">
      <c r="A6" s="61" t="s">
        <v>0</v>
      </c>
      <c r="B6" s="87" t="s">
        <v>117</v>
      </c>
      <c r="C6" s="88"/>
      <c r="D6" s="89"/>
      <c r="E6" s="87" t="s">
        <v>117</v>
      </c>
      <c r="F6" s="88"/>
      <c r="G6" s="104"/>
      <c r="H6" s="99" t="s">
        <v>117</v>
      </c>
      <c r="I6" s="88"/>
      <c r="J6" s="89"/>
    </row>
    <row r="7" spans="1:10" x14ac:dyDescent="0.45">
      <c r="A7" s="61" t="s">
        <v>54</v>
      </c>
      <c r="B7" s="87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61" t="s">
        <v>59</v>
      </c>
      <c r="B8" s="87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63" t="s">
        <v>64</v>
      </c>
      <c r="B9" s="90">
        <v>3</v>
      </c>
      <c r="C9" s="91"/>
      <c r="D9" s="92"/>
      <c r="E9" s="90">
        <v>3</v>
      </c>
      <c r="F9" s="91"/>
      <c r="G9" s="105"/>
      <c r="H9" s="100">
        <v>3</v>
      </c>
      <c r="I9" s="91"/>
      <c r="J9" s="92"/>
    </row>
    <row r="10" spans="1:10" x14ac:dyDescent="0.45">
      <c r="A10" s="66"/>
      <c r="B10" s="136" t="s">
        <v>134</v>
      </c>
      <c r="C10" s="85"/>
      <c r="D10" s="86"/>
      <c r="E10" s="136" t="s">
        <v>134</v>
      </c>
      <c r="F10" s="85"/>
      <c r="G10" s="109"/>
      <c r="H10" s="137" t="s">
        <v>134</v>
      </c>
      <c r="I10" s="85"/>
      <c r="J10" s="86"/>
    </row>
    <row r="11" spans="1:10" x14ac:dyDescent="0.45">
      <c r="A11" s="61" t="s">
        <v>65</v>
      </c>
      <c r="B11" s="22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61" t="s">
        <v>201</v>
      </c>
      <c r="B12" s="23">
        <v>5.9716276886447013E-3</v>
      </c>
      <c r="C12" s="3">
        <v>7.9875156054931302E-3</v>
      </c>
      <c r="D12" s="6">
        <v>4.9830161036697991E-3</v>
      </c>
      <c r="E12" s="3">
        <v>1.2904679376083202E-2</v>
      </c>
      <c r="F12" s="3">
        <v>1.83103448275862E-2</v>
      </c>
      <c r="G12" s="6">
        <v>7.4529616724738996E-3</v>
      </c>
      <c r="H12" s="3">
        <v>2.0696707105719199E-2</v>
      </c>
      <c r="I12" s="3">
        <v>2.8314420803782499E-2</v>
      </c>
      <c r="J12" s="6">
        <v>1.4791683326669301E-2</v>
      </c>
    </row>
    <row r="13" spans="1:10" x14ac:dyDescent="0.45">
      <c r="A13" s="61" t="s">
        <v>77</v>
      </c>
      <c r="B13" s="23">
        <v>2.1266357746284052E-2</v>
      </c>
      <c r="C13" s="3">
        <v>1.6026478529744797E-2</v>
      </c>
      <c r="D13" s="6">
        <v>2.6651469083162013E-2</v>
      </c>
      <c r="E13" s="3">
        <v>1.074523396880416E-2</v>
      </c>
      <c r="F13" s="3">
        <v>5.5172413793103444E-3</v>
      </c>
      <c r="G13" s="6">
        <v>1.6027874564459931E-2</v>
      </c>
      <c r="H13" s="3">
        <v>1.3431542461005199E-2</v>
      </c>
      <c r="I13" s="3">
        <v>8.5106382978723406E-3</v>
      </c>
      <c r="J13" s="6">
        <v>1.759296281487405E-2</v>
      </c>
    </row>
    <row r="14" spans="1:10" x14ac:dyDescent="0.45">
      <c r="A14" s="61" t="s">
        <v>78</v>
      </c>
      <c r="B14" s="23">
        <v>4.6229165164493477E-2</v>
      </c>
      <c r="C14" s="3">
        <v>3.438724849751764E-2</v>
      </c>
      <c r="D14" s="6">
        <v>5.8399300592884784E-2</v>
      </c>
      <c r="E14" s="3">
        <v>2.9809358752166379E-2</v>
      </c>
      <c r="F14" s="3">
        <v>1.9310344827586208E-2</v>
      </c>
      <c r="G14" s="6">
        <v>4.0418118466898953E-2</v>
      </c>
      <c r="H14" s="3">
        <v>2.6863084922010397E-2</v>
      </c>
      <c r="I14" s="3">
        <v>1.1347517730496455E-2</v>
      </c>
      <c r="J14" s="6">
        <v>3.9984006397441027E-2</v>
      </c>
    </row>
    <row r="15" spans="1:10" x14ac:dyDescent="0.45">
      <c r="A15" s="61" t="s">
        <v>79</v>
      </c>
      <c r="B15" s="23">
        <v>5.9708257121036647E-2</v>
      </c>
      <c r="C15" s="3">
        <v>4.1123014836106031E-2</v>
      </c>
      <c r="D15" s="6">
        <v>7.8808620849135133E-2</v>
      </c>
      <c r="E15" s="3">
        <v>5.7538994800693244E-2</v>
      </c>
      <c r="F15" s="3">
        <v>4.068965517241379E-2</v>
      </c>
      <c r="G15" s="6">
        <v>7.456445993031359E-2</v>
      </c>
      <c r="H15" s="3">
        <v>5.415944540727903E-2</v>
      </c>
      <c r="I15" s="3">
        <v>3.2151300236406617E-2</v>
      </c>
      <c r="J15" s="6">
        <v>7.2770891643342661E-2</v>
      </c>
    </row>
    <row r="16" spans="1:10" x14ac:dyDescent="0.45">
      <c r="A16" s="61" t="s">
        <v>80</v>
      </c>
      <c r="B16" s="23">
        <v>7.8684935054615338E-2</v>
      </c>
      <c r="C16" s="3">
        <v>5.9356037511250473E-2</v>
      </c>
      <c r="D16" s="6">
        <v>9.8549565705180808E-2</v>
      </c>
      <c r="E16" s="3">
        <v>6.9670710571923741E-2</v>
      </c>
      <c r="F16" s="3">
        <v>4.9655172413793101E-2</v>
      </c>
      <c r="G16" s="6">
        <v>8.9895470383275264E-2</v>
      </c>
      <c r="H16" s="3">
        <v>8.3188908145580595E-2</v>
      </c>
      <c r="I16" s="3">
        <v>5.0118203309692674E-2</v>
      </c>
      <c r="J16" s="6">
        <v>0.11115553778488604</v>
      </c>
    </row>
    <row r="17" spans="1:10" x14ac:dyDescent="0.45">
      <c r="A17" s="61" t="s">
        <v>81</v>
      </c>
      <c r="B17" s="23">
        <v>7.4705954197574628E-2</v>
      </c>
      <c r="C17" s="3">
        <v>6.2631013558633111E-2</v>
      </c>
      <c r="D17" s="6">
        <v>8.7115572251679152E-2</v>
      </c>
      <c r="E17" s="3">
        <v>8.9428076256499137E-2</v>
      </c>
      <c r="F17" s="3">
        <v>6.2758620689655167E-2</v>
      </c>
      <c r="G17" s="6">
        <v>0.11637630662020906</v>
      </c>
      <c r="H17" s="3">
        <v>9.1854419410745236E-2</v>
      </c>
      <c r="I17" s="3">
        <v>7.2813238770685573E-2</v>
      </c>
      <c r="J17" s="6">
        <v>0.10795681727309077</v>
      </c>
    </row>
    <row r="18" spans="1:10" x14ac:dyDescent="0.45">
      <c r="A18" s="61" t="s">
        <v>82</v>
      </c>
      <c r="B18" s="23">
        <v>7.5588864151060003E-2</v>
      </c>
      <c r="C18" s="3">
        <v>6.315361611938565E-2</v>
      </c>
      <c r="D18" s="6">
        <v>8.836877612706294E-2</v>
      </c>
      <c r="E18" s="3">
        <v>8.1455805892547667E-2</v>
      </c>
      <c r="F18" s="3">
        <v>8.137931034482758E-2</v>
      </c>
      <c r="G18" s="6">
        <v>8.1533101045296166E-2</v>
      </c>
      <c r="H18" s="3">
        <v>9.835355285961872E-2</v>
      </c>
      <c r="I18" s="3">
        <v>8.1323877068557926E-2</v>
      </c>
      <c r="J18" s="6">
        <v>0.11275489804078369</v>
      </c>
    </row>
    <row r="19" spans="1:10" x14ac:dyDescent="0.45">
      <c r="A19" s="61" t="s">
        <v>83</v>
      </c>
      <c r="B19" s="23">
        <v>7.5070890311681931E-2</v>
      </c>
      <c r="C19" s="3">
        <v>6.6161484191272546E-2</v>
      </c>
      <c r="D19" s="6">
        <v>8.42272357007946E-2</v>
      </c>
      <c r="E19" s="3">
        <v>8.1802426343154253E-2</v>
      </c>
      <c r="F19" s="3">
        <v>6.4827586206896548E-2</v>
      </c>
      <c r="G19" s="6">
        <v>9.8954703832752608E-2</v>
      </c>
      <c r="H19" s="3">
        <v>8.1889081455805895E-2</v>
      </c>
      <c r="I19" s="3">
        <v>6.9030732860520097E-2</v>
      </c>
      <c r="J19" s="6">
        <v>9.2762894842063182E-2</v>
      </c>
    </row>
    <row r="20" spans="1:10" x14ac:dyDescent="0.45">
      <c r="A20" s="61" t="s">
        <v>84</v>
      </c>
      <c r="B20" s="23">
        <v>7.0897669264874452E-2</v>
      </c>
      <c r="C20" s="3">
        <v>6.9517753970327778E-2</v>
      </c>
      <c r="D20" s="6">
        <v>7.2315831247146731E-2</v>
      </c>
      <c r="E20" s="3">
        <v>7.5909878682842283E-2</v>
      </c>
      <c r="F20" s="3">
        <v>7.379310344827586E-2</v>
      </c>
      <c r="G20" s="6">
        <v>7.8048780487804878E-2</v>
      </c>
      <c r="H20" s="3">
        <v>6.9757365684575384E-2</v>
      </c>
      <c r="I20" s="3">
        <v>6.5248226950354607E-2</v>
      </c>
      <c r="J20" s="6">
        <v>7.357057177129149E-2</v>
      </c>
    </row>
    <row r="21" spans="1:10" x14ac:dyDescent="0.45">
      <c r="A21" s="61" t="s">
        <v>85</v>
      </c>
      <c r="B21" s="23">
        <v>6.8507926324107404E-2</v>
      </c>
      <c r="C21" s="3">
        <v>6.8542229190256362E-2</v>
      </c>
      <c r="D21" s="6">
        <v>6.8472672695969752E-2</v>
      </c>
      <c r="E21" s="3">
        <v>8.3882149046793766E-2</v>
      </c>
      <c r="F21" s="3">
        <v>9.7241379310344822E-2</v>
      </c>
      <c r="G21" s="6">
        <v>7.0383275261324041E-2</v>
      </c>
      <c r="H21" s="3">
        <v>6.2391681109185443E-2</v>
      </c>
      <c r="I21" s="3">
        <v>6.1465721040189124E-2</v>
      </c>
      <c r="J21" s="6">
        <v>6.3174730107956822E-2</v>
      </c>
    </row>
    <row r="22" spans="1:10" x14ac:dyDescent="0.45">
      <c r="A22" s="61" t="s">
        <v>86</v>
      </c>
      <c r="B22" s="23">
        <v>7.3823044244089295E-2</v>
      </c>
      <c r="C22" s="3">
        <v>7.9133641088174667E-2</v>
      </c>
      <c r="D22" s="6">
        <v>6.8365255220936866E-2</v>
      </c>
      <c r="E22" s="3">
        <v>6.897746967071057E-2</v>
      </c>
      <c r="F22" s="3">
        <v>6.9655172413793098E-2</v>
      </c>
      <c r="G22" s="6">
        <v>6.8292682926829273E-2</v>
      </c>
      <c r="H22" s="3">
        <v>7.1923743500866555E-2</v>
      </c>
      <c r="I22" s="3">
        <v>8.0378250591016553E-2</v>
      </c>
      <c r="J22" s="6">
        <v>6.4774090363854453E-2</v>
      </c>
    </row>
    <row r="23" spans="1:10" x14ac:dyDescent="0.45">
      <c r="A23" s="61" t="s">
        <v>87</v>
      </c>
      <c r="B23" s="23">
        <v>7.9638477804379521E-2</v>
      </c>
      <c r="C23" s="3">
        <v>9.0735417936881224E-2</v>
      </c>
      <c r="D23" s="6">
        <v>6.8233967195896666E-2</v>
      </c>
      <c r="E23" s="3">
        <v>6.7937608318890813E-2</v>
      </c>
      <c r="F23" s="3">
        <v>7.7241379310344832E-2</v>
      </c>
      <c r="G23" s="6">
        <v>5.8536585365853662E-2</v>
      </c>
      <c r="H23" s="3">
        <v>7.1057192374350084E-2</v>
      </c>
      <c r="I23" s="3">
        <v>8.9834515366430265E-2</v>
      </c>
      <c r="J23" s="6">
        <v>5.5177928828468614E-2</v>
      </c>
    </row>
    <row r="24" spans="1:10" x14ac:dyDescent="0.45">
      <c r="A24" s="61" t="s">
        <v>88</v>
      </c>
      <c r="B24" s="23">
        <v>7.548880102299832E-2</v>
      </c>
      <c r="C24" s="3">
        <v>8.5799727085329375E-2</v>
      </c>
      <c r="D24" s="6">
        <v>6.48920901948732E-2</v>
      </c>
      <c r="E24" s="3">
        <v>7.1403812824956669E-2</v>
      </c>
      <c r="F24" s="3">
        <v>8.7586206896551722E-2</v>
      </c>
      <c r="G24" s="6">
        <v>5.5052264808362367E-2</v>
      </c>
      <c r="H24" s="3">
        <v>6.672443674176777E-2</v>
      </c>
      <c r="I24" s="3">
        <v>7.9432624113475181E-2</v>
      </c>
      <c r="J24" s="6">
        <v>5.5977608956417436E-2</v>
      </c>
    </row>
    <row r="25" spans="1:10" x14ac:dyDescent="0.45">
      <c r="A25" s="61" t="s">
        <v>89</v>
      </c>
      <c r="B25" s="23">
        <v>6.2156860725369384E-2</v>
      </c>
      <c r="C25" s="3">
        <v>7.1828818627877947E-2</v>
      </c>
      <c r="D25" s="6">
        <v>5.2216828140991406E-2</v>
      </c>
      <c r="E25" s="3">
        <v>6.10051993067591E-2</v>
      </c>
      <c r="F25" s="3">
        <v>6.4137931034482759E-2</v>
      </c>
      <c r="G25" s="6">
        <v>5.7839721254355402E-2</v>
      </c>
      <c r="H25" s="3">
        <v>6.1525129982668979E-2</v>
      </c>
      <c r="I25" s="3">
        <v>8.416075650118203E-2</v>
      </c>
      <c r="J25" s="6">
        <v>4.2383046781287487E-2</v>
      </c>
    </row>
    <row r="26" spans="1:10" x14ac:dyDescent="0.45">
      <c r="A26" s="61" t="s">
        <v>90</v>
      </c>
      <c r="B26" s="23">
        <v>4.6458721752399679E-2</v>
      </c>
      <c r="C26" s="3">
        <v>5.7683709316842316E-2</v>
      </c>
      <c r="D26" s="6">
        <v>3.4922614660695052E-2</v>
      </c>
      <c r="E26" s="3">
        <v>4.2287694974003469E-2</v>
      </c>
      <c r="F26" s="3">
        <v>4.8965517241379312E-2</v>
      </c>
      <c r="G26" s="6">
        <v>3.5540069686411151E-2</v>
      </c>
      <c r="H26" s="3">
        <v>5.0693240901213174E-2</v>
      </c>
      <c r="I26" s="3">
        <v>6.9030732860520097E-2</v>
      </c>
      <c r="J26" s="6">
        <v>3.5185925629748101E-2</v>
      </c>
    </row>
    <row r="27" spans="1:10" x14ac:dyDescent="0.45">
      <c r="A27" s="61" t="s">
        <v>91</v>
      </c>
      <c r="B27" s="23">
        <v>3.4256906195231987E-2</v>
      </c>
      <c r="C27" s="3">
        <v>5.1702813343785389E-2</v>
      </c>
      <c r="D27" s="6">
        <v>1.6327456205000285E-2</v>
      </c>
      <c r="E27" s="3">
        <v>3.2235701906412478E-2</v>
      </c>
      <c r="F27" s="3">
        <v>4.4827586206896551E-2</v>
      </c>
      <c r="G27" s="6">
        <v>1.9512195121951219E-2</v>
      </c>
      <c r="H27" s="3">
        <v>3.1195840554592721E-2</v>
      </c>
      <c r="I27" s="3">
        <v>3.8770685579196218E-2</v>
      </c>
      <c r="J27" s="6">
        <v>2.4790083966413436E-2</v>
      </c>
    </row>
    <row r="28" spans="1:10" x14ac:dyDescent="0.45">
      <c r="A28" s="61" t="s">
        <v>92</v>
      </c>
      <c r="B28" s="23">
        <v>2.8523877563933715E-2</v>
      </c>
      <c r="C28" s="3">
        <v>3.9415846470981036E-2</v>
      </c>
      <c r="D28" s="6">
        <v>1.7330019305307316E-2</v>
      </c>
      <c r="E28" s="3">
        <v>3.1542461005199307E-2</v>
      </c>
      <c r="F28" s="3">
        <v>4.275862068965517E-2</v>
      </c>
      <c r="G28" s="6">
        <v>2.0209059233449476E-2</v>
      </c>
      <c r="H28" s="3">
        <v>2.2097053726169845E-2</v>
      </c>
      <c r="I28" s="3">
        <v>3.971631205673759E-2</v>
      </c>
      <c r="J28" s="6">
        <v>7.1971211515393842E-3</v>
      </c>
    </row>
    <row r="29" spans="1:10" x14ac:dyDescent="0.45">
      <c r="A29" s="61" t="s">
        <v>93</v>
      </c>
      <c r="B29" s="23">
        <v>1.3467319823830032E-2</v>
      </c>
      <c r="C29" s="3">
        <v>2.1868013819934383E-2</v>
      </c>
      <c r="D29" s="6">
        <v>4.8337863764803474E-3</v>
      </c>
      <c r="E29" s="3">
        <v>1.802426343154246E-2</v>
      </c>
      <c r="F29" s="3">
        <v>2.9655172413793104E-2</v>
      </c>
      <c r="G29" s="6">
        <v>6.2717770034843206E-3</v>
      </c>
      <c r="H29" s="3">
        <v>1.6897746967071057E-2</v>
      </c>
      <c r="I29" s="3">
        <v>2.9314420803782507E-2</v>
      </c>
      <c r="J29" s="6">
        <v>6.3974410235905638E-3</v>
      </c>
    </row>
    <row r="30" spans="1:10" ht="14.65" thickBot="1" x14ac:dyDescent="0.5">
      <c r="A30" s="63" t="s">
        <v>94</v>
      </c>
      <c r="B30" s="24">
        <v>9.1469471181083364E-3</v>
      </c>
      <c r="C30" s="8">
        <v>1.2797956043317946E-2</v>
      </c>
      <c r="D30" s="9">
        <v>5.3947443016521407E-3</v>
      </c>
      <c r="E30" s="8">
        <v>1.317157712305026E-2</v>
      </c>
      <c r="F30" s="8">
        <v>2.1379310344827585E-2</v>
      </c>
      <c r="G30" s="9">
        <v>4.8780487804878049E-3</v>
      </c>
      <c r="H30" s="8">
        <v>5.1993067590987872E-3</v>
      </c>
      <c r="I30" s="8">
        <v>9.4562647754137114E-3</v>
      </c>
      <c r="J30" s="9">
        <v>1.5993602558976409E-3</v>
      </c>
    </row>
    <row r="31" spans="1:10" x14ac:dyDescent="0.45">
      <c r="B31" s="51">
        <f t="shared" ref="B31:J31" si="0">SUM(B12:B30)</f>
        <v>0.99959260327471267</v>
      </c>
      <c r="C31" s="51">
        <f t="shared" si="0"/>
        <v>0.99985233574311172</v>
      </c>
      <c r="D31" s="51">
        <f t="shared" si="0"/>
        <v>1.000408821958519</v>
      </c>
      <c r="E31" s="51">
        <f t="shared" si="0"/>
        <v>0.99973310225303302</v>
      </c>
      <c r="F31" s="51">
        <f t="shared" si="0"/>
        <v>0.99968965517241359</v>
      </c>
      <c r="G31" s="51">
        <f t="shared" si="0"/>
        <v>0.99978745644599298</v>
      </c>
      <c r="H31" s="51">
        <f t="shared" si="0"/>
        <v>0.99989948006932405</v>
      </c>
      <c r="I31" s="51">
        <f t="shared" si="0"/>
        <v>1.0004184397163121</v>
      </c>
      <c r="J31" s="51">
        <f t="shared" si="0"/>
        <v>0.9999976009596161</v>
      </c>
    </row>
  </sheetData>
  <mergeCells count="21">
    <mergeCell ref="B10:D10"/>
    <mergeCell ref="E10:G10"/>
    <mergeCell ref="H10:J10"/>
    <mergeCell ref="B8:D8"/>
    <mergeCell ref="E8:G8"/>
    <mergeCell ref="H8:J8"/>
    <mergeCell ref="B9:D9"/>
    <mergeCell ref="E9:G9"/>
    <mergeCell ref="H9:J9"/>
    <mergeCell ref="B6:D6"/>
    <mergeCell ref="E6:G6"/>
    <mergeCell ref="H6:J6"/>
    <mergeCell ref="B7:D7"/>
    <mergeCell ref="E7:G7"/>
    <mergeCell ref="H7:J7"/>
    <mergeCell ref="A1:J2"/>
    <mergeCell ref="A3:J3"/>
    <mergeCell ref="A4:J4"/>
    <mergeCell ref="B5:D5"/>
    <mergeCell ref="E5:G5"/>
    <mergeCell ref="H5:J5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7542-BF78-4D3A-99E0-FBBD2F532B24}">
  <sheetPr>
    <tabColor rgb="FFFFFF00"/>
  </sheetPr>
  <dimension ref="A1:J31"/>
  <sheetViews>
    <sheetView workbookViewId="0">
      <selection activeCell="L17" sqref="L17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110" t="s">
        <v>70</v>
      </c>
      <c r="B1" s="111"/>
      <c r="C1" s="111"/>
      <c r="D1" s="111"/>
      <c r="E1" s="111"/>
      <c r="F1" s="111"/>
      <c r="G1" s="111"/>
      <c r="H1" s="111"/>
      <c r="I1" s="111"/>
      <c r="J1" s="112"/>
    </row>
    <row r="2" spans="1:10" ht="15" customHeight="1" x14ac:dyDescent="0.45">
      <c r="A2" s="133"/>
      <c r="B2" s="134"/>
      <c r="C2" s="134"/>
      <c r="D2" s="134"/>
      <c r="E2" s="134"/>
      <c r="F2" s="134"/>
      <c r="G2" s="134"/>
      <c r="H2" s="134"/>
      <c r="I2" s="134"/>
      <c r="J2" s="135"/>
    </row>
    <row r="3" spans="1:10" x14ac:dyDescent="0.45">
      <c r="A3" s="131" t="s">
        <v>157</v>
      </c>
      <c r="B3" s="122"/>
      <c r="C3" s="122"/>
      <c r="D3" s="122"/>
      <c r="E3" s="122"/>
      <c r="F3" s="122"/>
      <c r="G3" s="122"/>
      <c r="H3" s="122"/>
      <c r="I3" s="122"/>
      <c r="J3" s="123"/>
    </row>
    <row r="4" spans="1:10" ht="14.65" thickBot="1" x14ac:dyDescent="0.5">
      <c r="A4" s="119"/>
      <c r="B4" s="120"/>
      <c r="C4" s="120"/>
      <c r="D4" s="120"/>
      <c r="E4" s="120"/>
      <c r="F4" s="120"/>
      <c r="G4" s="120"/>
      <c r="H4" s="120"/>
      <c r="I4" s="120"/>
      <c r="J4" s="121"/>
    </row>
    <row r="5" spans="1:10" x14ac:dyDescent="0.45">
      <c r="A5" s="36" t="s">
        <v>68</v>
      </c>
      <c r="B5" s="108">
        <v>310</v>
      </c>
      <c r="C5" s="102"/>
      <c r="D5" s="103"/>
      <c r="E5" s="101">
        <v>310</v>
      </c>
      <c r="F5" s="102"/>
      <c r="G5" s="106"/>
      <c r="H5" s="108">
        <v>310</v>
      </c>
      <c r="I5" s="102"/>
      <c r="J5" s="103"/>
    </row>
    <row r="6" spans="1:10" x14ac:dyDescent="0.45">
      <c r="A6" s="37" t="s">
        <v>0</v>
      </c>
      <c r="B6" s="99" t="s">
        <v>12</v>
      </c>
      <c r="C6" s="88"/>
      <c r="D6" s="89"/>
      <c r="E6" s="87" t="s">
        <v>12</v>
      </c>
      <c r="F6" s="88"/>
      <c r="G6" s="104"/>
      <c r="H6" s="99" t="s">
        <v>12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1</v>
      </c>
      <c r="C9" s="91"/>
      <c r="D9" s="92"/>
      <c r="E9" s="90">
        <v>1</v>
      </c>
      <c r="F9" s="91"/>
      <c r="G9" s="105"/>
      <c r="H9" s="100">
        <v>1</v>
      </c>
      <c r="I9" s="91"/>
      <c r="J9" s="92"/>
    </row>
    <row r="10" spans="1:10" x14ac:dyDescent="0.45">
      <c r="A10" s="65"/>
      <c r="B10" s="116" t="s">
        <v>134</v>
      </c>
      <c r="C10" s="117"/>
      <c r="D10" s="118"/>
      <c r="E10" s="116" t="s">
        <v>134</v>
      </c>
      <c r="F10" s="117"/>
      <c r="G10" s="147"/>
      <c r="H10" s="129" t="s">
        <v>134</v>
      </c>
      <c r="I10" s="117"/>
      <c r="J10" s="118"/>
    </row>
    <row r="11" spans="1:10" x14ac:dyDescent="0.45">
      <c r="A11" s="61" t="s">
        <v>65</v>
      </c>
      <c r="B11" s="22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61" t="s">
        <v>201</v>
      </c>
      <c r="B12" s="23">
        <v>1.4814282130612901E-2</v>
      </c>
      <c r="C12" s="3">
        <v>1.5401856763925699E-2</v>
      </c>
      <c r="D12" s="6">
        <v>1.4234013834992398E-2</v>
      </c>
      <c r="E12" s="3">
        <v>1.35938864628821E-2</v>
      </c>
      <c r="F12" s="3">
        <v>1.2477718360071301E-2</v>
      </c>
      <c r="G12" s="6">
        <v>1.5547945205479401E-2</v>
      </c>
      <c r="H12" s="3">
        <v>2.6220538280637598E-2</v>
      </c>
      <c r="I12" s="3">
        <v>2.3012025012024998E-2</v>
      </c>
      <c r="J12" s="6">
        <v>3.0036613272311198E-2</v>
      </c>
    </row>
    <row r="13" spans="1:10" x14ac:dyDescent="0.45">
      <c r="A13" s="61" t="s">
        <v>77</v>
      </c>
      <c r="B13" s="23">
        <v>1.4716949577723897E-2</v>
      </c>
      <c r="C13" s="3">
        <v>7.9575596816976128E-3</v>
      </c>
      <c r="D13" s="6">
        <v>2.1596085709465161E-2</v>
      </c>
      <c r="E13" s="3">
        <v>5.2401746724890829E-3</v>
      </c>
      <c r="F13" s="3">
        <v>0</v>
      </c>
      <c r="G13" s="6">
        <v>1.0273972602739725E-2</v>
      </c>
      <c r="H13" s="3">
        <v>9.4068460935458585E-3</v>
      </c>
      <c r="I13" s="3">
        <v>5.772005772005772E-3</v>
      </c>
      <c r="J13" s="6">
        <v>1.3729977116704805E-2</v>
      </c>
    </row>
    <row r="14" spans="1:10" x14ac:dyDescent="0.45">
      <c r="A14" s="61" t="s">
        <v>78</v>
      </c>
      <c r="B14" s="23">
        <v>5.2847228029099448E-2</v>
      </c>
      <c r="C14" s="3">
        <v>2.3872679045092837E-2</v>
      </c>
      <c r="D14" s="6">
        <v>8.2335076767335924E-2</v>
      </c>
      <c r="E14" s="3">
        <v>3.1441048034934499E-2</v>
      </c>
      <c r="F14" s="3">
        <v>1.6042780748663103E-2</v>
      </c>
      <c r="G14" s="6">
        <v>4.6232876712328765E-2</v>
      </c>
      <c r="H14" s="3">
        <v>2.4039717794617194E-2</v>
      </c>
      <c r="I14" s="3">
        <v>1.1544011544011544E-2</v>
      </c>
      <c r="J14" s="6">
        <v>3.8901601830663615E-2</v>
      </c>
    </row>
    <row r="15" spans="1:10" x14ac:dyDescent="0.45">
      <c r="A15" s="61" t="s">
        <v>79</v>
      </c>
      <c r="B15" s="23">
        <v>4.7830086127602658E-2</v>
      </c>
      <c r="C15" s="3">
        <v>3.3156498673740049E-2</v>
      </c>
      <c r="D15" s="6">
        <v>6.2763624093133116E-2</v>
      </c>
      <c r="E15" s="3">
        <v>5.1528384279475981E-2</v>
      </c>
      <c r="F15" s="3">
        <v>3.9215686274509803E-2</v>
      </c>
      <c r="G15" s="6">
        <v>6.3356164383561647E-2</v>
      </c>
      <c r="H15" s="3">
        <v>4.49438202247191E-2</v>
      </c>
      <c r="I15" s="3">
        <v>3.0784030784030785E-2</v>
      </c>
      <c r="J15" s="6">
        <v>6.1784897025171627E-2</v>
      </c>
    </row>
    <row r="16" spans="1:10" x14ac:dyDescent="0.45">
      <c r="A16" s="61" t="s">
        <v>80</v>
      </c>
      <c r="B16" s="23">
        <v>5.7529893803829772E-2</v>
      </c>
      <c r="C16" s="3">
        <v>4.7745358090185673E-2</v>
      </c>
      <c r="D16" s="6">
        <v>6.7487767842078605E-2</v>
      </c>
      <c r="E16" s="3">
        <v>5.2401746724890827E-2</v>
      </c>
      <c r="F16" s="3">
        <v>4.2780748663101602E-2</v>
      </c>
      <c r="G16" s="6">
        <v>6.1643835616438353E-2</v>
      </c>
      <c r="H16" s="3">
        <v>7.4209563626861777E-2</v>
      </c>
      <c r="I16" s="3">
        <v>8.2732082732082726E-2</v>
      </c>
      <c r="J16" s="6">
        <v>6.4073226544622428E-2</v>
      </c>
    </row>
    <row r="17" spans="1:10" x14ac:dyDescent="0.45">
      <c r="A17" s="61" t="s">
        <v>81</v>
      </c>
      <c r="B17" s="23">
        <v>6.8567605987122693E-2</v>
      </c>
      <c r="C17" s="3">
        <v>5.9018567639257294E-2</v>
      </c>
      <c r="D17" s="6">
        <v>7.8285810696811189E-2</v>
      </c>
      <c r="E17" s="3">
        <v>7.9475982532751094E-2</v>
      </c>
      <c r="F17" s="3">
        <v>7.8431372549019607E-2</v>
      </c>
      <c r="G17" s="6">
        <v>8.0479452054794523E-2</v>
      </c>
      <c r="H17" s="3">
        <v>7.4209563626861777E-2</v>
      </c>
      <c r="I17" s="3">
        <v>8.4656084656084651E-2</v>
      </c>
      <c r="J17" s="6">
        <v>6.1784897025171627E-2</v>
      </c>
    </row>
    <row r="18" spans="1:10" x14ac:dyDescent="0.45">
      <c r="A18" s="61" t="s">
        <v>82</v>
      </c>
      <c r="B18" s="23">
        <v>7.7514842378125295E-2</v>
      </c>
      <c r="C18" s="3">
        <v>7.3607427055702918E-2</v>
      </c>
      <c r="D18" s="6">
        <v>8.1491479669309932E-2</v>
      </c>
      <c r="E18" s="3">
        <v>8.1222707423580787E-2</v>
      </c>
      <c r="F18" s="3">
        <v>9.8039215686274508E-2</v>
      </c>
      <c r="G18" s="6">
        <v>6.5068493150684928E-2</v>
      </c>
      <c r="H18" s="3">
        <v>0.12124379409459106</v>
      </c>
      <c r="I18" s="3">
        <v>0.15007215007215008</v>
      </c>
      <c r="J18" s="6">
        <v>8.6956521739130432E-2</v>
      </c>
    </row>
    <row r="19" spans="1:10" x14ac:dyDescent="0.45">
      <c r="A19" s="61" t="s">
        <v>83</v>
      </c>
      <c r="B19" s="23">
        <v>8.3033698469771752E-2</v>
      </c>
      <c r="C19" s="3">
        <v>0.10344827586206896</v>
      </c>
      <c r="D19" s="6">
        <v>6.225746583431753E-2</v>
      </c>
      <c r="E19" s="3">
        <v>8.4716157205240172E-2</v>
      </c>
      <c r="F19" s="3">
        <v>7.8431372549019607E-2</v>
      </c>
      <c r="G19" s="6">
        <v>9.0753424657534248E-2</v>
      </c>
      <c r="H19" s="3">
        <v>9.4068460935458578E-2</v>
      </c>
      <c r="I19" s="3">
        <v>8.8504088504088502E-2</v>
      </c>
      <c r="J19" s="6">
        <v>0.10068649885583524</v>
      </c>
    </row>
    <row r="20" spans="1:10" x14ac:dyDescent="0.45">
      <c r="A20" s="61" t="s">
        <v>84</v>
      </c>
      <c r="B20" s="23">
        <v>8.9806840036792415E-2</v>
      </c>
      <c r="C20" s="3">
        <v>0.10692970822281167</v>
      </c>
      <c r="D20" s="6">
        <v>7.2380631010629318E-2</v>
      </c>
      <c r="E20" s="3">
        <v>7.6855895196506555E-2</v>
      </c>
      <c r="F20" s="3">
        <v>8.0213903743315509E-2</v>
      </c>
      <c r="G20" s="6">
        <v>7.3630136986301373E-2</v>
      </c>
      <c r="H20" s="3">
        <v>0.10452051215050953</v>
      </c>
      <c r="I20" s="3">
        <v>8.6580086580086577E-2</v>
      </c>
      <c r="J20" s="6">
        <v>0.12585812356979406</v>
      </c>
    </row>
    <row r="21" spans="1:10" x14ac:dyDescent="0.45">
      <c r="A21" s="61" t="s">
        <v>85</v>
      </c>
      <c r="B21" s="23">
        <v>7.9019984948574332E-2</v>
      </c>
      <c r="C21" s="3">
        <v>7.8083554376657816E-2</v>
      </c>
      <c r="D21" s="6">
        <v>7.9973004892863159E-2</v>
      </c>
      <c r="E21" s="3">
        <v>0.11179039301310044</v>
      </c>
      <c r="F21" s="3">
        <v>0.12477718360071301</v>
      </c>
      <c r="G21" s="6">
        <v>9.9315068493150679E-2</v>
      </c>
      <c r="H21" s="3">
        <v>7.9435589234387247E-2</v>
      </c>
      <c r="I21" s="3">
        <v>6.7340067340067339E-2</v>
      </c>
      <c r="J21" s="6">
        <v>9.3821510297482841E-2</v>
      </c>
    </row>
    <row r="22" spans="1:10" x14ac:dyDescent="0.45">
      <c r="A22" s="61" t="s">
        <v>86</v>
      </c>
      <c r="B22" s="23">
        <v>7.6009699807676259E-2</v>
      </c>
      <c r="C22" s="3">
        <v>8.2393899204244045E-2</v>
      </c>
      <c r="D22" s="6">
        <v>6.9512400877340966E-2</v>
      </c>
      <c r="E22" s="3">
        <v>9.1703056768558958E-2</v>
      </c>
      <c r="F22" s="3">
        <v>8.3778966131907315E-2</v>
      </c>
      <c r="G22" s="6">
        <v>9.9315068493150679E-2</v>
      </c>
      <c r="H22" s="3">
        <v>8.5706819963417821E-2</v>
      </c>
      <c r="I22" s="3">
        <v>9.6200096200096202E-2</v>
      </c>
      <c r="J22" s="6">
        <v>7.3226544622425629E-2</v>
      </c>
    </row>
    <row r="23" spans="1:10" x14ac:dyDescent="0.45">
      <c r="A23" s="61" t="s">
        <v>87</v>
      </c>
      <c r="B23" s="23">
        <v>7.3250271761853031E-2</v>
      </c>
      <c r="C23" s="3">
        <v>7.0954907161803707E-2</v>
      </c>
      <c r="D23" s="6">
        <v>7.5586299983128061E-2</v>
      </c>
      <c r="E23" s="3">
        <v>6.4628820960698691E-2</v>
      </c>
      <c r="F23" s="3">
        <v>6.4171122994652413E-2</v>
      </c>
      <c r="G23" s="6">
        <v>6.5068493150684928E-2</v>
      </c>
      <c r="H23" s="3">
        <v>4.8079435589234387E-2</v>
      </c>
      <c r="I23" s="3">
        <v>4.4252044252044251E-2</v>
      </c>
      <c r="J23" s="6">
        <v>5.2631578947368418E-2</v>
      </c>
    </row>
    <row r="24" spans="1:10" x14ac:dyDescent="0.45">
      <c r="A24" s="61" t="s">
        <v>88</v>
      </c>
      <c r="B24" s="23">
        <v>7.6929509156284007E-2</v>
      </c>
      <c r="C24" s="3">
        <v>8.8196286472148541E-2</v>
      </c>
      <c r="D24" s="6">
        <v>6.5463134806816273E-2</v>
      </c>
      <c r="E24" s="3">
        <v>4.3668122270742356E-2</v>
      </c>
      <c r="F24" s="3">
        <v>5.5258467023172907E-2</v>
      </c>
      <c r="G24" s="6">
        <v>3.2534246575342464E-2</v>
      </c>
      <c r="H24" s="3">
        <v>5.3305461196759864E-2</v>
      </c>
      <c r="I24" s="3">
        <v>6.3492063492063489E-2</v>
      </c>
      <c r="J24" s="6">
        <v>4.1189931350114416E-2</v>
      </c>
    </row>
    <row r="25" spans="1:10" x14ac:dyDescent="0.45">
      <c r="A25" s="61" t="s">
        <v>89</v>
      </c>
      <c r="B25" s="23">
        <v>5.0840371268500731E-2</v>
      </c>
      <c r="C25" s="3">
        <v>5.3713527851458887E-2</v>
      </c>
      <c r="D25" s="6">
        <v>4.7916315167875818E-2</v>
      </c>
      <c r="E25" s="3">
        <v>3.1441048034934499E-2</v>
      </c>
      <c r="F25" s="3">
        <v>4.4563279857397504E-2</v>
      </c>
      <c r="G25" s="6">
        <v>1.8835616438356163E-2</v>
      </c>
      <c r="H25" s="3">
        <v>5.1215050953749675E-2</v>
      </c>
      <c r="I25" s="3">
        <v>5.9644059644059645E-2</v>
      </c>
      <c r="J25" s="6">
        <v>4.1189931350114416E-2</v>
      </c>
    </row>
    <row r="26" spans="1:10" x14ac:dyDescent="0.45">
      <c r="A26" s="61" t="s">
        <v>90</v>
      </c>
      <c r="B26" s="23">
        <v>4.5154277113471045E-2</v>
      </c>
      <c r="C26" s="3">
        <v>5.8355437665782495E-2</v>
      </c>
      <c r="D26" s="6">
        <v>3.1719250885776956E-2</v>
      </c>
      <c r="E26" s="3">
        <v>5.4148471615720527E-2</v>
      </c>
      <c r="F26" s="3">
        <v>6.9518716577540107E-2</v>
      </c>
      <c r="G26" s="6">
        <v>3.9383561643835614E-2</v>
      </c>
      <c r="H26" s="3">
        <v>3.2401358766657957E-2</v>
      </c>
      <c r="I26" s="3">
        <v>3.4632034632034632E-2</v>
      </c>
      <c r="J26" s="6">
        <v>2.9748283752860413E-2</v>
      </c>
    </row>
    <row r="27" spans="1:10" x14ac:dyDescent="0.45">
      <c r="A27" s="61" t="s">
        <v>91</v>
      </c>
      <c r="B27" s="23">
        <v>3.1775232042812962E-2</v>
      </c>
      <c r="C27" s="3">
        <v>3.1167108753315652E-2</v>
      </c>
      <c r="D27" s="6">
        <v>3.2394128564197738E-2</v>
      </c>
      <c r="E27" s="3">
        <v>3.0567685589519649E-2</v>
      </c>
      <c r="F27" s="3">
        <v>2.6737967914438502E-2</v>
      </c>
      <c r="G27" s="6">
        <v>3.4246575342465752E-2</v>
      </c>
      <c r="H27" s="3">
        <v>2.6130128037627383E-2</v>
      </c>
      <c r="I27" s="3">
        <v>1.7316017316017316E-2</v>
      </c>
      <c r="J27" s="6">
        <v>3.6613272311212815E-2</v>
      </c>
    </row>
    <row r="28" spans="1:10" x14ac:dyDescent="0.45">
      <c r="A28" s="61" t="s">
        <v>92</v>
      </c>
      <c r="B28" s="23">
        <v>2.4416757253951007E-2</v>
      </c>
      <c r="C28" s="3">
        <v>2.1220159151193633E-2</v>
      </c>
      <c r="D28" s="6">
        <v>2.7669984815252232E-2</v>
      </c>
      <c r="E28" s="3">
        <v>3.2314410480349345E-2</v>
      </c>
      <c r="F28" s="3">
        <v>1.6042780748663103E-2</v>
      </c>
      <c r="G28" s="6">
        <v>4.7945205479452052E-2</v>
      </c>
      <c r="H28" s="3">
        <v>1.8813692187091717E-2</v>
      </c>
      <c r="I28" s="3">
        <v>2.3088023088023088E-2</v>
      </c>
      <c r="J28" s="6">
        <v>1.3729977116704805E-2</v>
      </c>
    </row>
    <row r="29" spans="1:10" x14ac:dyDescent="0.45">
      <c r="A29" s="61" t="s">
        <v>93</v>
      </c>
      <c r="B29" s="23">
        <v>2.4082281127184559E-2</v>
      </c>
      <c r="C29" s="3">
        <v>3.0503978779840846E-2</v>
      </c>
      <c r="D29" s="6">
        <v>1.754681963894044E-2</v>
      </c>
      <c r="E29" s="3">
        <v>3.9301310043668124E-2</v>
      </c>
      <c r="F29" s="3">
        <v>3.7433155080213901E-2</v>
      </c>
      <c r="G29" s="6">
        <v>4.1095890410958902E-2</v>
      </c>
      <c r="H29" s="3">
        <v>1.8813692187091717E-2</v>
      </c>
      <c r="I29" s="3">
        <v>1.5392015392015393E-2</v>
      </c>
      <c r="J29" s="6">
        <v>2.2883295194508008E-2</v>
      </c>
    </row>
    <row r="30" spans="1:10" ht="14.65" thickBot="1" x14ac:dyDescent="0.5">
      <c r="A30" s="63" t="s">
        <v>94</v>
      </c>
      <c r="B30" s="24">
        <v>1.2041140563592279E-2</v>
      </c>
      <c r="C30" s="8">
        <v>1.4588859416445624E-2</v>
      </c>
      <c r="D30" s="9">
        <v>9.4482874978910059E-3</v>
      </c>
      <c r="E30" s="8">
        <v>2.3580786026200874E-2</v>
      </c>
      <c r="F30" s="8">
        <v>3.2085561497326207E-2</v>
      </c>
      <c r="G30" s="9">
        <v>1.5410958904109588E-2</v>
      </c>
      <c r="H30" s="8">
        <v>1.358766657956624E-2</v>
      </c>
      <c r="I30" s="8">
        <v>1.5392015392015393E-2</v>
      </c>
      <c r="J30" s="9">
        <v>1.1441647597254004E-2</v>
      </c>
    </row>
    <row r="31" spans="1:10" x14ac:dyDescent="0.45">
      <c r="B31" s="51">
        <f t="shared" ref="B31:J31" si="0">SUM(B12:B30)</f>
        <v>1.000180951584581</v>
      </c>
      <c r="C31" s="51">
        <f t="shared" si="0"/>
        <v>1.000315649867374</v>
      </c>
      <c r="D31" s="51">
        <f t="shared" si="0"/>
        <v>1.000061582588156</v>
      </c>
      <c r="E31" s="51">
        <f t="shared" si="0"/>
        <v>0.99962008733624441</v>
      </c>
      <c r="F31" s="51">
        <f t="shared" si="0"/>
        <v>1</v>
      </c>
      <c r="G31" s="51">
        <f t="shared" si="0"/>
        <v>1.0001369863013698</v>
      </c>
      <c r="H31" s="51">
        <f t="shared" si="0"/>
        <v>1.0003517115233864</v>
      </c>
      <c r="I31" s="51">
        <f t="shared" si="0"/>
        <v>1.0004050024050022</v>
      </c>
      <c r="J31" s="51">
        <f t="shared" si="0"/>
        <v>1.0002883295194509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E3FD-FA35-4670-8793-CE2EF8337927}">
  <sheetPr>
    <tabColor rgb="FFFFFF00"/>
  </sheetPr>
  <dimension ref="A1:M36"/>
  <sheetViews>
    <sheetView topLeftCell="A3" workbookViewId="0">
      <selection activeCell="M35" sqref="A10:M35"/>
    </sheetView>
  </sheetViews>
  <sheetFormatPr defaultRowHeight="14.25" x14ac:dyDescent="0.45"/>
  <cols>
    <col min="1" max="1" width="17.796875" customWidth="1"/>
    <col min="2" max="13" width="17.796875" style="1" customWidth="1"/>
  </cols>
  <sheetData>
    <row r="1" spans="1:13" ht="15" customHeight="1" x14ac:dyDescent="0.45">
      <c r="A1" s="110" t="s">
        <v>70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15" customHeight="1" x14ac:dyDescent="0.4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1:13" x14ac:dyDescent="0.45">
      <c r="A3" s="131" t="s">
        <v>157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3"/>
    </row>
    <row r="4" spans="1:13" ht="14.65" thickBot="1" x14ac:dyDescent="0.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x14ac:dyDescent="0.45">
      <c r="A5" s="36" t="s">
        <v>68</v>
      </c>
      <c r="B5" s="108">
        <v>311</v>
      </c>
      <c r="C5" s="102"/>
      <c r="D5" s="103"/>
      <c r="E5" s="101">
        <v>311</v>
      </c>
      <c r="F5" s="102"/>
      <c r="G5" s="103"/>
      <c r="H5" s="102">
        <v>311</v>
      </c>
      <c r="I5" s="102"/>
      <c r="J5" s="103"/>
      <c r="K5" s="102">
        <v>311</v>
      </c>
      <c r="L5" s="102"/>
      <c r="M5" s="103"/>
    </row>
    <row r="6" spans="1:13" x14ac:dyDescent="0.45">
      <c r="A6" s="37" t="s">
        <v>0</v>
      </c>
      <c r="B6" s="99" t="s">
        <v>161</v>
      </c>
      <c r="C6" s="88"/>
      <c r="D6" s="89"/>
      <c r="E6" s="99" t="s">
        <v>161</v>
      </c>
      <c r="F6" s="88"/>
      <c r="G6" s="89"/>
      <c r="H6" s="99" t="s">
        <v>161</v>
      </c>
      <c r="I6" s="88"/>
      <c r="J6" s="89"/>
      <c r="K6" s="99" t="s">
        <v>161</v>
      </c>
      <c r="L6" s="88"/>
      <c r="M6" s="89"/>
    </row>
    <row r="7" spans="1:13" x14ac:dyDescent="0.45">
      <c r="A7" s="37" t="s">
        <v>54</v>
      </c>
      <c r="B7" s="99" t="s">
        <v>55</v>
      </c>
      <c r="C7" s="88"/>
      <c r="D7" s="89"/>
      <c r="E7" s="87" t="s">
        <v>56</v>
      </c>
      <c r="F7" s="88"/>
      <c r="G7" s="89"/>
      <c r="H7" s="88" t="s">
        <v>56</v>
      </c>
      <c r="I7" s="88"/>
      <c r="J7" s="89"/>
      <c r="K7" s="88" t="s">
        <v>56</v>
      </c>
      <c r="L7" s="88"/>
      <c r="M7" s="89"/>
    </row>
    <row r="8" spans="1:13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  <c r="H8" s="88" t="s">
        <v>61</v>
      </c>
      <c r="I8" s="88"/>
      <c r="J8" s="89"/>
      <c r="K8" s="88" t="s">
        <v>63</v>
      </c>
      <c r="L8" s="88"/>
      <c r="M8" s="89"/>
    </row>
    <row r="9" spans="1:13" ht="14.65" thickBot="1" x14ac:dyDescent="0.5">
      <c r="A9" s="38" t="s">
        <v>64</v>
      </c>
      <c r="B9" s="100">
        <v>4</v>
      </c>
      <c r="C9" s="91"/>
      <c r="D9" s="92"/>
      <c r="E9" s="90">
        <v>1</v>
      </c>
      <c r="F9" s="91"/>
      <c r="G9" s="92"/>
      <c r="H9" s="91">
        <v>1</v>
      </c>
      <c r="I9" s="91"/>
      <c r="J9" s="92"/>
      <c r="K9" s="91">
        <v>1</v>
      </c>
      <c r="L9" s="91"/>
      <c r="M9" s="92"/>
    </row>
    <row r="10" spans="1:13" x14ac:dyDescent="0.45">
      <c r="A10" s="58"/>
      <c r="B10" s="124" t="s">
        <v>134</v>
      </c>
      <c r="C10" s="125"/>
      <c r="D10" s="126"/>
      <c r="E10" s="130" t="s">
        <v>134</v>
      </c>
      <c r="F10" s="125"/>
      <c r="G10" s="148"/>
      <c r="H10" s="124" t="s">
        <v>134</v>
      </c>
      <c r="I10" s="125"/>
      <c r="J10" s="126"/>
      <c r="K10" s="130" t="s">
        <v>134</v>
      </c>
      <c r="L10" s="125"/>
      <c r="M10" s="126"/>
    </row>
    <row r="11" spans="1:13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5" t="s">
        <v>67</v>
      </c>
    </row>
    <row r="12" spans="1:13" x14ac:dyDescent="0.45">
      <c r="A12" s="37" t="s">
        <v>71</v>
      </c>
      <c r="B12" s="25">
        <v>1.5725518227305217E-2</v>
      </c>
      <c r="C12" s="3">
        <v>2.0028612303290415E-2</v>
      </c>
      <c r="D12" s="6">
        <v>1.1428571428571429E-2</v>
      </c>
      <c r="E12" s="23">
        <v>1.0626992561105204E-3</v>
      </c>
      <c r="F12" s="3">
        <v>2.1505376344086021E-3</v>
      </c>
      <c r="G12" s="20">
        <v>0</v>
      </c>
      <c r="H12" s="25">
        <v>1.7142857142857144E-2</v>
      </c>
      <c r="I12" s="3">
        <v>3.5714285714285712E-2</v>
      </c>
      <c r="J12" s="6">
        <v>0</v>
      </c>
      <c r="K12" s="23">
        <v>2.3255813953488372E-2</v>
      </c>
      <c r="L12" s="3">
        <v>4.49438202247191E-2</v>
      </c>
      <c r="M12" s="6">
        <v>0</v>
      </c>
    </row>
    <row r="13" spans="1:13" x14ac:dyDescent="0.45">
      <c r="A13" s="37" t="s">
        <v>72</v>
      </c>
      <c r="B13" s="25">
        <v>5.003573981415297E-3</v>
      </c>
      <c r="C13" s="3">
        <v>5.7224606580829757E-3</v>
      </c>
      <c r="D13" s="6">
        <v>4.2857142857142859E-3</v>
      </c>
      <c r="E13" s="23">
        <v>0</v>
      </c>
      <c r="F13" s="3">
        <v>0</v>
      </c>
      <c r="G13" s="20">
        <v>0</v>
      </c>
      <c r="H13" s="25">
        <v>0</v>
      </c>
      <c r="I13" s="3">
        <v>0</v>
      </c>
      <c r="J13" s="6">
        <v>0</v>
      </c>
      <c r="K13" s="23">
        <v>1.1627906976744186E-2</v>
      </c>
      <c r="L13" s="3">
        <v>1.1235955056179775E-2</v>
      </c>
      <c r="M13" s="6">
        <v>1.2048192771084338E-2</v>
      </c>
    </row>
    <row r="14" spans="1:13" x14ac:dyDescent="0.45">
      <c r="A14" s="37" t="s">
        <v>73</v>
      </c>
      <c r="B14" s="25">
        <v>5.7183702644746249E-3</v>
      </c>
      <c r="C14" s="3">
        <v>5.7224606580829757E-3</v>
      </c>
      <c r="D14" s="6">
        <v>5.7142857142857143E-3</v>
      </c>
      <c r="E14" s="23">
        <v>1.0626992561105204E-3</v>
      </c>
      <c r="F14" s="3">
        <v>2.1505376344086021E-3</v>
      </c>
      <c r="G14" s="20">
        <v>0</v>
      </c>
      <c r="H14" s="25">
        <v>5.7142857142857143E-3</v>
      </c>
      <c r="I14" s="3">
        <v>0</v>
      </c>
      <c r="J14" s="6">
        <v>1.098901098901099E-2</v>
      </c>
      <c r="K14" s="23">
        <v>0</v>
      </c>
      <c r="L14" s="3">
        <v>0</v>
      </c>
      <c r="M14" s="6">
        <v>0</v>
      </c>
    </row>
    <row r="15" spans="1:13" x14ac:dyDescent="0.45">
      <c r="A15" s="37" t="s">
        <v>74</v>
      </c>
      <c r="B15" s="25">
        <v>1.0007147962830594E-2</v>
      </c>
      <c r="C15" s="3">
        <v>1.0014306151645207E-2</v>
      </c>
      <c r="D15" s="6">
        <v>0.01</v>
      </c>
      <c r="E15" s="23">
        <v>1.0626992561105204E-3</v>
      </c>
      <c r="F15" s="3">
        <v>0</v>
      </c>
      <c r="G15" s="20">
        <v>2.1008403361344537E-3</v>
      </c>
      <c r="H15" s="25">
        <v>0</v>
      </c>
      <c r="I15" s="3">
        <v>0</v>
      </c>
      <c r="J15" s="6">
        <v>0</v>
      </c>
      <c r="K15" s="23">
        <v>0</v>
      </c>
      <c r="L15" s="3">
        <v>0</v>
      </c>
      <c r="M15" s="6">
        <v>0</v>
      </c>
    </row>
    <row r="16" spans="1:13" x14ac:dyDescent="0.45">
      <c r="A16" s="37" t="s">
        <v>75</v>
      </c>
      <c r="B16" s="25">
        <v>6.4331665475339528E-3</v>
      </c>
      <c r="C16" s="3">
        <v>4.2918454935622317E-3</v>
      </c>
      <c r="D16" s="6">
        <v>8.5714285714285719E-3</v>
      </c>
      <c r="E16" s="23">
        <v>3.188097768331562E-3</v>
      </c>
      <c r="F16" s="3">
        <v>2.1505376344086021E-3</v>
      </c>
      <c r="G16" s="20">
        <v>4.2016806722689074E-3</v>
      </c>
      <c r="H16" s="25">
        <v>0</v>
      </c>
      <c r="I16" s="3">
        <v>0</v>
      </c>
      <c r="J16" s="6">
        <v>0</v>
      </c>
      <c r="K16" s="23">
        <v>5.8139534883720929E-3</v>
      </c>
      <c r="L16" s="3">
        <v>1.1235955056179775E-2</v>
      </c>
      <c r="M16" s="6">
        <v>0</v>
      </c>
    </row>
    <row r="17" spans="1:13" x14ac:dyDescent="0.45">
      <c r="A17" s="37" t="s">
        <v>76</v>
      </c>
      <c r="B17" s="25">
        <v>2.1443888491779844E-2</v>
      </c>
      <c r="C17" s="3">
        <v>8.5836909871244635E-3</v>
      </c>
      <c r="D17" s="6">
        <v>3.4285714285714287E-2</v>
      </c>
      <c r="E17" s="23">
        <v>6.376195536663124E-3</v>
      </c>
      <c r="F17" s="3">
        <v>4.3010752688172043E-3</v>
      </c>
      <c r="G17" s="20">
        <v>8.4033613445378148E-3</v>
      </c>
      <c r="H17" s="25">
        <v>5.7142857142857143E-3</v>
      </c>
      <c r="I17" s="3">
        <v>1.1904761904761904E-2</v>
      </c>
      <c r="J17" s="6">
        <v>0</v>
      </c>
      <c r="K17" s="23">
        <v>0</v>
      </c>
      <c r="L17" s="3">
        <v>0</v>
      </c>
      <c r="M17" s="6">
        <v>0</v>
      </c>
    </row>
    <row r="18" spans="1:13" x14ac:dyDescent="0.45">
      <c r="A18" s="37" t="s">
        <v>77</v>
      </c>
      <c r="B18" s="25">
        <v>4.5032165832737669E-2</v>
      </c>
      <c r="C18" s="3">
        <v>1.5736766809728183E-2</v>
      </c>
      <c r="D18" s="6">
        <v>7.4285714285714288E-2</v>
      </c>
      <c r="E18" s="23">
        <v>0.12327311370882039</v>
      </c>
      <c r="F18" s="3">
        <v>8.6021505376344086E-3</v>
      </c>
      <c r="G18" s="20">
        <v>0.23529411764705879</v>
      </c>
      <c r="H18" s="25">
        <v>5.7142857142857143E-3</v>
      </c>
      <c r="I18" s="3">
        <v>1.1904761904761904E-2</v>
      </c>
      <c r="J18" s="6">
        <v>0</v>
      </c>
      <c r="K18" s="23">
        <v>1.1627906976744186E-2</v>
      </c>
      <c r="L18" s="3">
        <v>2.247191011235955E-2</v>
      </c>
      <c r="M18" s="6">
        <v>0</v>
      </c>
    </row>
    <row r="19" spans="1:13" x14ac:dyDescent="0.45">
      <c r="A19" s="37" t="s">
        <v>78</v>
      </c>
      <c r="B19" s="25">
        <v>5.2180128663330952E-2</v>
      </c>
      <c r="C19" s="3">
        <v>4.1487839771101577E-2</v>
      </c>
      <c r="D19" s="6">
        <v>6.2857142857142861E-2</v>
      </c>
      <c r="E19" s="23">
        <v>0.12858660998937296</v>
      </c>
      <c r="F19" s="3">
        <v>7.5268817204301078E-2</v>
      </c>
      <c r="G19" s="20">
        <v>0.18067226890756302</v>
      </c>
      <c r="H19" s="25">
        <v>1.1428571428571429E-2</v>
      </c>
      <c r="I19" s="3">
        <v>0</v>
      </c>
      <c r="J19" s="6">
        <v>2.197802197802198E-2</v>
      </c>
      <c r="K19" s="23">
        <v>1.1627906976744186E-2</v>
      </c>
      <c r="L19" s="3">
        <v>1.1235955056179775E-2</v>
      </c>
      <c r="M19" s="6">
        <v>1.2048192771084338E-2</v>
      </c>
    </row>
    <row r="20" spans="1:13" x14ac:dyDescent="0.45">
      <c r="A20" s="37" t="s">
        <v>79</v>
      </c>
      <c r="B20" s="25">
        <v>4.8606147248034311E-2</v>
      </c>
      <c r="C20" s="3">
        <v>3.5765379113018601E-2</v>
      </c>
      <c r="D20" s="6">
        <v>6.142857142857143E-2</v>
      </c>
      <c r="E20" s="23">
        <v>4.7821466524973419E-2</v>
      </c>
      <c r="F20" s="3">
        <v>3.6559139784946237E-2</v>
      </c>
      <c r="G20" s="20">
        <v>5.8823529411764698E-2</v>
      </c>
      <c r="H20" s="25">
        <v>6.2857142857142861E-2</v>
      </c>
      <c r="I20" s="3">
        <v>2.3809523809523808E-2</v>
      </c>
      <c r="J20" s="6">
        <v>9.8901098901098897E-2</v>
      </c>
      <c r="K20" s="23">
        <v>1.1627906976744186E-2</v>
      </c>
      <c r="L20" s="3">
        <v>1.1235955056179775E-2</v>
      </c>
      <c r="M20" s="6">
        <v>1.2048192771084338E-2</v>
      </c>
    </row>
    <row r="21" spans="1:13" x14ac:dyDescent="0.45">
      <c r="A21" s="37" t="s">
        <v>80</v>
      </c>
      <c r="B21" s="25">
        <v>5.0750536097212293E-2</v>
      </c>
      <c r="C21" s="3">
        <v>4.2918454935622317E-2</v>
      </c>
      <c r="D21" s="6">
        <v>5.8571428571428573E-2</v>
      </c>
      <c r="E21" s="23">
        <v>2.7630180658873533E-2</v>
      </c>
      <c r="F21" s="3">
        <v>1.5053763440860214E-2</v>
      </c>
      <c r="G21" s="20">
        <v>3.9915966386554626E-2</v>
      </c>
      <c r="H21" s="25">
        <v>6.8571428571428575E-2</v>
      </c>
      <c r="I21" s="3">
        <v>5.9523809523809521E-2</v>
      </c>
      <c r="J21" s="6">
        <v>7.6923076923076927E-2</v>
      </c>
      <c r="K21" s="23">
        <v>7.5581395348837205E-2</v>
      </c>
      <c r="L21" s="3">
        <v>0</v>
      </c>
      <c r="M21" s="6">
        <v>0.15662650602409639</v>
      </c>
    </row>
    <row r="22" spans="1:13" x14ac:dyDescent="0.45">
      <c r="A22" s="37" t="s">
        <v>81</v>
      </c>
      <c r="B22" s="25">
        <v>4.932094353109364E-2</v>
      </c>
      <c r="C22" s="3">
        <v>4.4349070100143065E-2</v>
      </c>
      <c r="D22" s="6">
        <v>5.4285714285714284E-2</v>
      </c>
      <c r="E22" s="23">
        <v>2.6567481402763018E-2</v>
      </c>
      <c r="F22" s="3">
        <v>2.3655913978494626E-2</v>
      </c>
      <c r="G22" s="20">
        <v>2.9411764705882356E-2</v>
      </c>
      <c r="H22" s="25">
        <v>6.2857142857142861E-2</v>
      </c>
      <c r="I22" s="3">
        <v>5.9523809523809521E-2</v>
      </c>
      <c r="J22" s="6">
        <v>6.5934065934065936E-2</v>
      </c>
      <c r="K22" s="23">
        <v>0.10465116279069768</v>
      </c>
      <c r="L22" s="3">
        <v>1.1235955056179775E-2</v>
      </c>
      <c r="M22" s="6">
        <v>0.20481927710843373</v>
      </c>
    </row>
    <row r="23" spans="1:13" x14ac:dyDescent="0.45">
      <c r="A23" s="37" t="s">
        <v>82</v>
      </c>
      <c r="B23" s="25">
        <v>4.5032165832737669E-2</v>
      </c>
      <c r="C23" s="3">
        <v>4.1487839771101577E-2</v>
      </c>
      <c r="D23" s="6">
        <v>4.8571428571428571E-2</v>
      </c>
      <c r="E23" s="23">
        <v>2.7630180658873533E-2</v>
      </c>
      <c r="F23" s="3">
        <v>2.7956989247311829E-2</v>
      </c>
      <c r="G23" s="20">
        <v>2.7310924369747899E-2</v>
      </c>
      <c r="H23" s="25">
        <v>6.8571428571428575E-2</v>
      </c>
      <c r="I23" s="3">
        <v>2.3809523809523808E-2</v>
      </c>
      <c r="J23" s="6">
        <v>0.10989010989010989</v>
      </c>
      <c r="K23" s="23">
        <v>6.9767441860465115E-2</v>
      </c>
      <c r="L23" s="3">
        <v>2.247191011235955E-2</v>
      </c>
      <c r="M23" s="6">
        <v>0.12048192771084337</v>
      </c>
    </row>
    <row r="24" spans="1:13" x14ac:dyDescent="0.45">
      <c r="A24" s="37" t="s">
        <v>83</v>
      </c>
      <c r="B24" s="25">
        <v>6.1472480343102216E-2</v>
      </c>
      <c r="C24" s="3">
        <v>6.0085836909871244E-2</v>
      </c>
      <c r="D24" s="6">
        <v>6.2857142857142861E-2</v>
      </c>
      <c r="E24" s="23">
        <v>2.019128586609989E-2</v>
      </c>
      <c r="F24" s="3">
        <v>1.0752688172043012E-2</v>
      </c>
      <c r="G24" s="20">
        <v>2.9411764705882349E-2</v>
      </c>
      <c r="H24" s="25">
        <v>6.2857142857142861E-2</v>
      </c>
      <c r="I24" s="3">
        <v>5.9523809523809521E-2</v>
      </c>
      <c r="J24" s="6">
        <v>6.5934065934065936E-2</v>
      </c>
      <c r="K24" s="23">
        <v>0.10465116279069768</v>
      </c>
      <c r="L24" s="3">
        <v>4.49438202247191E-2</v>
      </c>
      <c r="M24" s="6">
        <v>0.16867469879518071</v>
      </c>
    </row>
    <row r="25" spans="1:13" x14ac:dyDescent="0.45">
      <c r="A25" s="37" t="s">
        <v>84</v>
      </c>
      <c r="B25" s="25">
        <v>4.360257326661901E-2</v>
      </c>
      <c r="C25" s="3">
        <v>4.005722460658083E-2</v>
      </c>
      <c r="D25" s="6">
        <v>4.7142857142857146E-2</v>
      </c>
      <c r="E25" s="23">
        <v>2.0191285866099893E-2</v>
      </c>
      <c r="F25" s="3">
        <v>2.5806451612903229E-2</v>
      </c>
      <c r="G25" s="20">
        <v>1.4705882352941175E-2</v>
      </c>
      <c r="H25" s="25">
        <v>3.4285714285714287E-2</v>
      </c>
      <c r="I25" s="3">
        <v>2.3809523809523808E-2</v>
      </c>
      <c r="J25" s="6">
        <v>4.3956043956043959E-2</v>
      </c>
      <c r="K25" s="23">
        <v>4.0697674418604654E-2</v>
      </c>
      <c r="L25" s="3">
        <v>3.3707865168539325E-2</v>
      </c>
      <c r="M25" s="6">
        <v>4.8192771084337352E-2</v>
      </c>
    </row>
    <row r="26" spans="1:13" x14ac:dyDescent="0.45">
      <c r="A26" s="37" t="s">
        <v>85</v>
      </c>
      <c r="B26" s="25">
        <v>5.7898498927805575E-2</v>
      </c>
      <c r="C26" s="3">
        <v>5.4363376251788269E-2</v>
      </c>
      <c r="D26" s="6">
        <v>6.142857142857143E-2</v>
      </c>
      <c r="E26" s="23">
        <v>2.1253985122210415E-2</v>
      </c>
      <c r="F26" s="3">
        <v>3.0107526881720428E-2</v>
      </c>
      <c r="G26" s="20">
        <v>1.2605042016806725E-2</v>
      </c>
      <c r="H26" s="25">
        <v>5.1428571428571428E-2</v>
      </c>
      <c r="I26" s="3">
        <v>5.9523809523809521E-2</v>
      </c>
      <c r="J26" s="6">
        <v>4.3956043956043959E-2</v>
      </c>
      <c r="K26" s="23">
        <v>0.10465116279069768</v>
      </c>
      <c r="L26" s="3">
        <v>0.15730337078651685</v>
      </c>
      <c r="M26" s="6">
        <v>4.8192771084337352E-2</v>
      </c>
    </row>
    <row r="27" spans="1:13" x14ac:dyDescent="0.45">
      <c r="A27" s="37" t="s">
        <v>86</v>
      </c>
      <c r="B27" s="25">
        <v>5.3609721229449604E-2</v>
      </c>
      <c r="C27" s="3">
        <v>5.4363376251788269E-2</v>
      </c>
      <c r="D27" s="6">
        <v>5.2857142857142859E-2</v>
      </c>
      <c r="E27" s="23">
        <v>7.7577045696067992E-2</v>
      </c>
      <c r="F27" s="3">
        <v>5.1612903225806452E-2</v>
      </c>
      <c r="G27" s="20">
        <v>0.10294117647058824</v>
      </c>
      <c r="H27" s="25">
        <v>5.1428571428571428E-2</v>
      </c>
      <c r="I27" s="3">
        <v>5.9523809523809521E-2</v>
      </c>
      <c r="J27" s="6">
        <v>4.3956043956043959E-2</v>
      </c>
      <c r="K27" s="23">
        <v>6.9767441860465115E-2</v>
      </c>
      <c r="L27" s="3">
        <v>7.8651685393258425E-2</v>
      </c>
      <c r="M27" s="6">
        <v>6.0240963855421686E-2</v>
      </c>
    </row>
    <row r="28" spans="1:13" x14ac:dyDescent="0.45">
      <c r="A28" s="37" t="s">
        <v>87</v>
      </c>
      <c r="B28" s="25">
        <v>6.0757684060042887E-2</v>
      </c>
      <c r="C28" s="3">
        <v>6.5808297567954227E-2</v>
      </c>
      <c r="D28" s="6">
        <v>5.5714285714285716E-2</v>
      </c>
      <c r="E28" s="23">
        <v>5.5260361317747066E-2</v>
      </c>
      <c r="F28" s="3">
        <v>4.5161290322580649E-2</v>
      </c>
      <c r="G28" s="20">
        <v>6.5126050420168058E-2</v>
      </c>
      <c r="H28" s="25">
        <v>9.7142857142857142E-2</v>
      </c>
      <c r="I28" s="3">
        <v>9.5238095238095233E-2</v>
      </c>
      <c r="J28" s="6">
        <v>9.8901098901098897E-2</v>
      </c>
      <c r="K28" s="23">
        <v>0.16279069767441862</v>
      </c>
      <c r="L28" s="3">
        <v>0.25842696629213485</v>
      </c>
      <c r="M28" s="6">
        <v>6.0240963855421686E-2</v>
      </c>
    </row>
    <row r="29" spans="1:13" x14ac:dyDescent="0.45">
      <c r="A29" s="37" t="s">
        <v>88</v>
      </c>
      <c r="B29" s="25">
        <v>7.7197998570407433E-2</v>
      </c>
      <c r="C29" s="3">
        <v>9.2989985693848351E-2</v>
      </c>
      <c r="D29" s="6">
        <v>6.142857142857143E-2</v>
      </c>
      <c r="E29" s="23">
        <v>7.651434643995747E-2</v>
      </c>
      <c r="F29" s="3">
        <v>0.1096774193548387</v>
      </c>
      <c r="G29" s="20">
        <v>4.4117647058823532E-2</v>
      </c>
      <c r="H29" s="25">
        <v>0.08</v>
      </c>
      <c r="I29" s="3">
        <v>9.5238095238095233E-2</v>
      </c>
      <c r="J29" s="6">
        <v>6.5934065934065936E-2</v>
      </c>
      <c r="K29" s="23">
        <v>6.3953488372093026E-2</v>
      </c>
      <c r="L29" s="3">
        <v>8.98876404494382E-2</v>
      </c>
      <c r="M29" s="6">
        <v>3.614457831325301E-2</v>
      </c>
    </row>
    <row r="30" spans="1:13" x14ac:dyDescent="0.45">
      <c r="A30" s="37" t="s">
        <v>89</v>
      </c>
      <c r="B30" s="25">
        <v>6.5761258041458187E-2</v>
      </c>
      <c r="C30" s="3">
        <v>8.7267525035765375E-2</v>
      </c>
      <c r="D30" s="6">
        <v>4.4285714285714282E-2</v>
      </c>
      <c r="E30" s="23">
        <v>9.7768331562167896E-2</v>
      </c>
      <c r="F30" s="3">
        <v>0.12688172043010754</v>
      </c>
      <c r="G30" s="20">
        <v>6.9327731092436964E-2</v>
      </c>
      <c r="H30" s="25">
        <v>6.8571428571428575E-2</v>
      </c>
      <c r="I30" s="3">
        <v>9.5238095238095233E-2</v>
      </c>
      <c r="J30" s="6">
        <v>4.3956043956043959E-2</v>
      </c>
      <c r="K30" s="23">
        <v>5.8139534883720929E-3</v>
      </c>
      <c r="L30" s="3">
        <v>1.1235955056179775E-2</v>
      </c>
      <c r="M30" s="6">
        <v>0</v>
      </c>
    </row>
    <row r="31" spans="1:13" x14ac:dyDescent="0.45">
      <c r="A31" s="37" t="s">
        <v>90</v>
      </c>
      <c r="B31" s="25">
        <v>6.2902072909220869E-2</v>
      </c>
      <c r="C31" s="3">
        <v>8.0114449213161659E-2</v>
      </c>
      <c r="D31" s="6">
        <v>4.5714285714285714E-2</v>
      </c>
      <c r="E31" s="23">
        <v>8.5015940488841632E-2</v>
      </c>
      <c r="F31" s="3">
        <v>0.13333333333333333</v>
      </c>
      <c r="G31" s="20">
        <v>3.7815126050420166E-2</v>
      </c>
      <c r="H31" s="25">
        <v>5.1428571428571428E-2</v>
      </c>
      <c r="I31" s="3">
        <v>4.7619047619047616E-2</v>
      </c>
      <c r="J31" s="6">
        <v>5.4945054945054944E-2</v>
      </c>
      <c r="K31" s="23">
        <v>2.3255813953488372E-2</v>
      </c>
      <c r="L31" s="3">
        <v>4.49438202247191E-2</v>
      </c>
      <c r="M31" s="6">
        <v>0</v>
      </c>
    </row>
    <row r="32" spans="1:13" x14ac:dyDescent="0.45">
      <c r="A32" s="37" t="s">
        <v>91</v>
      </c>
      <c r="B32" s="25">
        <v>6.2187276626161546E-2</v>
      </c>
      <c r="C32" s="3">
        <v>7.1530758226037203E-2</v>
      </c>
      <c r="D32" s="6">
        <v>5.2857142857142859E-2</v>
      </c>
      <c r="E32" s="23">
        <v>5.951115834218914E-2</v>
      </c>
      <c r="F32" s="3">
        <v>0.1010752688172043</v>
      </c>
      <c r="G32" s="20">
        <v>1.8907563025210083E-2</v>
      </c>
      <c r="H32" s="25">
        <v>8.5714285714285715E-2</v>
      </c>
      <c r="I32" s="3">
        <v>0.13095238095238096</v>
      </c>
      <c r="J32" s="6">
        <v>4.3956043956043959E-2</v>
      </c>
      <c r="K32" s="23">
        <v>4.0697674418604654E-2</v>
      </c>
      <c r="L32" s="3">
        <v>4.49438202247191E-2</v>
      </c>
      <c r="M32" s="6">
        <v>3.614457831325301E-2</v>
      </c>
    </row>
    <row r="33" spans="1:13" x14ac:dyDescent="0.45">
      <c r="A33" s="37" t="s">
        <v>92</v>
      </c>
      <c r="B33" s="25">
        <v>4.932094353109364E-2</v>
      </c>
      <c r="C33" s="3">
        <v>5.7224606580829757E-2</v>
      </c>
      <c r="D33" s="6">
        <v>4.1428571428571426E-2</v>
      </c>
      <c r="E33" s="23">
        <v>3.2943676939426132E-2</v>
      </c>
      <c r="F33" s="3">
        <v>6.236559139784946E-2</v>
      </c>
      <c r="G33" s="20">
        <v>4.2016806722689074E-3</v>
      </c>
      <c r="H33" s="25">
        <v>4.5714285714285714E-2</v>
      </c>
      <c r="I33" s="3">
        <v>4.7619047619047616E-2</v>
      </c>
      <c r="J33" s="6">
        <v>4.3956043956043959E-2</v>
      </c>
      <c r="K33" s="23">
        <v>3.4883720930232558E-2</v>
      </c>
      <c r="L33" s="3">
        <v>4.49438202247191E-2</v>
      </c>
      <c r="M33" s="6">
        <v>2.4096385542168676E-2</v>
      </c>
    </row>
    <row r="34" spans="1:13" x14ac:dyDescent="0.45">
      <c r="A34" s="37" t="s">
        <v>93</v>
      </c>
      <c r="B34" s="25">
        <v>2.8591851322373123E-2</v>
      </c>
      <c r="C34" s="3">
        <v>3.4334763948497854E-2</v>
      </c>
      <c r="D34" s="6">
        <v>2.2857142857142857E-2</v>
      </c>
      <c r="E34" s="23">
        <v>2.3379383634431452E-2</v>
      </c>
      <c r="F34" s="3">
        <v>4.5161290322580649E-2</v>
      </c>
      <c r="G34" s="20">
        <v>2.1008403361344537E-3</v>
      </c>
      <c r="H34" s="25">
        <v>3.4285714285714287E-2</v>
      </c>
      <c r="I34" s="3">
        <v>3.5714285714285712E-2</v>
      </c>
      <c r="J34" s="6">
        <v>3.2967032967032968E-2</v>
      </c>
      <c r="K34" s="23">
        <v>1.7441860465116279E-2</v>
      </c>
      <c r="L34" s="3">
        <v>3.3707865168539325E-2</v>
      </c>
      <c r="M34" s="6">
        <v>0</v>
      </c>
    </row>
    <row r="35" spans="1:13" ht="14.65" thickBot="1" x14ac:dyDescent="0.5">
      <c r="A35" s="38" t="s">
        <v>94</v>
      </c>
      <c r="B35" s="26">
        <v>2.1443888491779844E-2</v>
      </c>
      <c r="C35" s="8">
        <v>2.575107296137339E-2</v>
      </c>
      <c r="D35" s="9">
        <v>1.7142857142857144E-2</v>
      </c>
      <c r="E35" s="24">
        <v>3.6131774707757698E-2</v>
      </c>
      <c r="F35" s="8">
        <v>6.0215053763440857E-2</v>
      </c>
      <c r="G35" s="21">
        <v>1.2605042016806721E-2</v>
      </c>
      <c r="H35" s="26">
        <v>2.8571428571428571E-2</v>
      </c>
      <c r="I35" s="8">
        <v>2.3809523809523808E-2</v>
      </c>
      <c r="J35" s="9">
        <v>3.2967032967032968E-2</v>
      </c>
      <c r="K35" s="24">
        <v>5.8139534883720929E-3</v>
      </c>
      <c r="L35" s="8">
        <v>1.1235955056179775E-2</v>
      </c>
      <c r="M35" s="9">
        <v>0</v>
      </c>
    </row>
    <row r="36" spans="1:13" x14ac:dyDescent="0.45">
      <c r="B36" s="11">
        <f t="shared" ref="B36:M36" si="0">SUM(B12:B35)</f>
        <v>0.99999999999999989</v>
      </c>
      <c r="C36" s="11">
        <f t="shared" si="0"/>
        <v>1</v>
      </c>
      <c r="D36" s="11">
        <f t="shared" si="0"/>
        <v>0.99999999999999978</v>
      </c>
      <c r="E36" s="11">
        <f t="shared" si="0"/>
        <v>0.99999999999999978</v>
      </c>
      <c r="F36" s="11">
        <f t="shared" si="0"/>
        <v>1</v>
      </c>
      <c r="G36" s="11">
        <f t="shared" si="0"/>
        <v>0.99999999999999978</v>
      </c>
      <c r="H36" s="11">
        <f t="shared" si="0"/>
        <v>0.99999999999999989</v>
      </c>
      <c r="I36" s="11">
        <f t="shared" si="0"/>
        <v>1</v>
      </c>
      <c r="J36" s="11">
        <f t="shared" si="0"/>
        <v>0.99999999999999978</v>
      </c>
      <c r="K36" s="11">
        <f t="shared" si="0"/>
        <v>1</v>
      </c>
      <c r="L36" s="11">
        <f t="shared" si="0"/>
        <v>1</v>
      </c>
      <c r="M36" s="11">
        <f t="shared" si="0"/>
        <v>1</v>
      </c>
    </row>
  </sheetData>
  <mergeCells count="27">
    <mergeCell ref="B6:D6"/>
    <mergeCell ref="E6:G6"/>
    <mergeCell ref="H6:J6"/>
    <mergeCell ref="K6:M6"/>
    <mergeCell ref="A1:M2"/>
    <mergeCell ref="A3:M3"/>
    <mergeCell ref="A4:M4"/>
    <mergeCell ref="B5:D5"/>
    <mergeCell ref="E5:G5"/>
    <mergeCell ref="H5:J5"/>
    <mergeCell ref="K5:M5"/>
    <mergeCell ref="B8:D8"/>
    <mergeCell ref="E8:G8"/>
    <mergeCell ref="H8:J8"/>
    <mergeCell ref="K8:M8"/>
    <mergeCell ref="B7:D7"/>
    <mergeCell ref="E7:G7"/>
    <mergeCell ref="H7:J7"/>
    <mergeCell ref="K7:M7"/>
    <mergeCell ref="B10:D10"/>
    <mergeCell ref="E10:G10"/>
    <mergeCell ref="H10:J10"/>
    <mergeCell ref="K10:M10"/>
    <mergeCell ref="B9:D9"/>
    <mergeCell ref="E9:G9"/>
    <mergeCell ref="H9:J9"/>
    <mergeCell ref="K9:M9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71DA-5CBB-4505-A676-856FAF3545AE}">
  <sheetPr>
    <tabColor rgb="FFFFFF00"/>
  </sheetPr>
  <dimension ref="A1:M36"/>
  <sheetViews>
    <sheetView topLeftCell="A3" workbookViewId="0">
      <selection activeCell="E26" sqref="E26"/>
    </sheetView>
  </sheetViews>
  <sheetFormatPr defaultRowHeight="14.25" x14ac:dyDescent="0.45"/>
  <cols>
    <col min="1" max="1" width="17.796875" customWidth="1"/>
    <col min="2" max="13" width="17.796875" style="1" customWidth="1"/>
  </cols>
  <sheetData>
    <row r="1" spans="1:13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9"/>
    </row>
    <row r="4" spans="1:13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2"/>
    </row>
    <row r="5" spans="1:13" x14ac:dyDescent="0.45">
      <c r="A5" s="36" t="s">
        <v>68</v>
      </c>
      <c r="B5" s="108">
        <v>312</v>
      </c>
      <c r="C5" s="102"/>
      <c r="D5" s="103"/>
      <c r="E5" s="101">
        <v>312</v>
      </c>
      <c r="F5" s="102"/>
      <c r="G5" s="106"/>
      <c r="H5" s="108">
        <v>312</v>
      </c>
      <c r="I5" s="102"/>
      <c r="J5" s="103"/>
      <c r="K5" s="101">
        <v>312</v>
      </c>
      <c r="L5" s="102"/>
      <c r="M5" s="103"/>
    </row>
    <row r="6" spans="1:13" x14ac:dyDescent="0.45">
      <c r="A6" s="37" t="s">
        <v>0</v>
      </c>
      <c r="B6" s="99" t="s">
        <v>162</v>
      </c>
      <c r="C6" s="88"/>
      <c r="D6" s="89"/>
      <c r="E6" s="87" t="s">
        <v>162</v>
      </c>
      <c r="F6" s="88"/>
      <c r="G6" s="104"/>
      <c r="H6" s="99" t="s">
        <v>162</v>
      </c>
      <c r="I6" s="88"/>
      <c r="J6" s="89"/>
      <c r="K6" s="87" t="s">
        <v>162</v>
      </c>
      <c r="L6" s="88"/>
      <c r="M6" s="89"/>
    </row>
    <row r="7" spans="1:13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  <c r="K7" s="87" t="s">
        <v>57</v>
      </c>
      <c r="L7" s="88"/>
      <c r="M7" s="89"/>
    </row>
    <row r="8" spans="1:13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  <c r="K8" s="87" t="s">
        <v>60</v>
      </c>
      <c r="L8" s="88"/>
      <c r="M8" s="89"/>
    </row>
    <row r="9" spans="1:13" ht="14.65" thickBot="1" x14ac:dyDescent="0.5">
      <c r="A9" s="38" t="s">
        <v>64</v>
      </c>
      <c r="B9" s="100">
        <v>8</v>
      </c>
      <c r="C9" s="91"/>
      <c r="D9" s="92"/>
      <c r="E9" s="90">
        <v>3</v>
      </c>
      <c r="F9" s="91"/>
      <c r="G9" s="105"/>
      <c r="H9" s="100">
        <v>3</v>
      </c>
      <c r="I9" s="91"/>
      <c r="J9" s="92"/>
      <c r="K9" s="90">
        <v>1</v>
      </c>
      <c r="L9" s="91"/>
      <c r="M9" s="92"/>
    </row>
    <row r="10" spans="1:13" x14ac:dyDescent="0.45">
      <c r="A10" s="62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101" t="s">
        <v>134</v>
      </c>
      <c r="L10" s="102"/>
      <c r="M10" s="103"/>
    </row>
    <row r="11" spans="1:13" x14ac:dyDescent="0.45">
      <c r="A11" s="61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5" t="s">
        <v>67</v>
      </c>
    </row>
    <row r="12" spans="1:13" x14ac:dyDescent="0.45">
      <c r="A12" s="61" t="s">
        <v>71</v>
      </c>
      <c r="B12" s="25">
        <v>1.488865872604868E-2</v>
      </c>
      <c r="C12" s="3">
        <v>1.7382413087934562E-2</v>
      </c>
      <c r="D12" s="6">
        <v>1.2329485834207765E-2</v>
      </c>
      <c r="E12" s="23">
        <v>2.2950819672131147E-2</v>
      </c>
      <c r="F12" s="3">
        <v>3.0237580993520519E-2</v>
      </c>
      <c r="G12" s="20">
        <v>1.5486725663716814E-2</v>
      </c>
      <c r="H12" s="25">
        <v>2.2127052105638829E-2</v>
      </c>
      <c r="I12" s="3">
        <v>2.6479750778816199E-2</v>
      </c>
      <c r="J12" s="6">
        <v>1.844532279314888E-2</v>
      </c>
      <c r="K12" s="23">
        <v>1.7241379310344827E-2</v>
      </c>
      <c r="L12" s="3">
        <v>1.8518518518518517E-2</v>
      </c>
      <c r="M12" s="6">
        <v>1.5873015873015872E-2</v>
      </c>
    </row>
    <row r="13" spans="1:13" x14ac:dyDescent="0.45">
      <c r="A13" s="61" t="s">
        <v>72</v>
      </c>
      <c r="B13" s="25">
        <v>9.1921284308648377E-3</v>
      </c>
      <c r="C13" s="3">
        <v>9.4580777096114517E-3</v>
      </c>
      <c r="D13" s="6">
        <v>8.9192025183630636E-3</v>
      </c>
      <c r="E13" s="23">
        <v>6.5573770491803279E-3</v>
      </c>
      <c r="F13" s="3">
        <v>8.6393088552915772E-3</v>
      </c>
      <c r="G13" s="20">
        <v>4.4247787610619468E-3</v>
      </c>
      <c r="H13" s="25">
        <v>1.9271948608137045E-2</v>
      </c>
      <c r="I13" s="3">
        <v>2.336448598130841E-2</v>
      </c>
      <c r="J13" s="6">
        <v>1.5810276679841896E-2</v>
      </c>
      <c r="K13" s="23">
        <v>5.7471264367816091E-3</v>
      </c>
      <c r="L13" s="3">
        <v>7.4074074074074077E-3</v>
      </c>
      <c r="M13" s="6">
        <v>3.968253968253968E-3</v>
      </c>
    </row>
    <row r="14" spans="1:13" x14ac:dyDescent="0.45">
      <c r="A14" s="61" t="s">
        <v>73</v>
      </c>
      <c r="B14" s="25">
        <v>5.4375970999482135E-3</v>
      </c>
      <c r="C14" s="3">
        <v>5.8793456032719838E-3</v>
      </c>
      <c r="D14" s="6">
        <v>4.9842602308499476E-3</v>
      </c>
      <c r="E14" s="23">
        <v>1.092896174863388E-2</v>
      </c>
      <c r="F14" s="3">
        <v>1.1879049676025918E-2</v>
      </c>
      <c r="G14" s="20">
        <v>9.9557522123893804E-3</v>
      </c>
      <c r="H14" s="25">
        <v>1.8558172733761598E-2</v>
      </c>
      <c r="I14" s="3">
        <v>2.336448598130841E-2</v>
      </c>
      <c r="J14" s="6">
        <v>1.4492753623188406E-2</v>
      </c>
      <c r="K14" s="23">
        <v>1.3409961685823755E-2</v>
      </c>
      <c r="L14" s="3">
        <v>1.4814814814814815E-2</v>
      </c>
      <c r="M14" s="6">
        <v>1.1904761904761904E-2</v>
      </c>
    </row>
    <row r="15" spans="1:13" x14ac:dyDescent="0.45">
      <c r="A15" s="61" t="s">
        <v>74</v>
      </c>
      <c r="B15" s="25">
        <v>5.5670636975660281E-3</v>
      </c>
      <c r="C15" s="3">
        <v>3.8343558282208589E-3</v>
      </c>
      <c r="D15" s="6">
        <v>7.3452256033578172E-3</v>
      </c>
      <c r="E15" s="23">
        <v>7.1038251366120223E-3</v>
      </c>
      <c r="F15" s="3">
        <v>4.3196544276457886E-3</v>
      </c>
      <c r="G15" s="20">
        <v>9.9557522123893804E-3</v>
      </c>
      <c r="H15" s="25">
        <v>8.5653104925053538E-3</v>
      </c>
      <c r="I15" s="3">
        <v>9.3457943925233638E-3</v>
      </c>
      <c r="J15" s="6">
        <v>7.9051383399209481E-3</v>
      </c>
      <c r="K15" s="23">
        <v>1.9157088122605363E-3</v>
      </c>
      <c r="L15" s="3">
        <v>3.7037037037037038E-3</v>
      </c>
      <c r="M15" s="6">
        <v>0</v>
      </c>
    </row>
    <row r="16" spans="1:13" x14ac:dyDescent="0.45">
      <c r="A16" s="61" t="s">
        <v>75</v>
      </c>
      <c r="B16" s="25">
        <v>1.2428793371310202E-2</v>
      </c>
      <c r="C16" s="3">
        <v>1.0736196319018405E-2</v>
      </c>
      <c r="D16" s="6">
        <v>1.416579223504722E-2</v>
      </c>
      <c r="E16" s="23">
        <v>1.6939890710382512E-2</v>
      </c>
      <c r="F16" s="3">
        <v>1.4038876889848811E-2</v>
      </c>
      <c r="G16" s="20">
        <v>1.9911504424778761E-2</v>
      </c>
      <c r="H16" s="25">
        <v>1.2134189864382585E-2</v>
      </c>
      <c r="I16" s="3">
        <v>1.2461059190031152E-2</v>
      </c>
      <c r="J16" s="6">
        <v>1.1857707509881422E-2</v>
      </c>
      <c r="K16" s="23">
        <v>2.1072796934865901E-2</v>
      </c>
      <c r="L16" s="3">
        <v>1.8518518518518517E-2</v>
      </c>
      <c r="M16" s="6">
        <v>2.3809523809523808E-2</v>
      </c>
    </row>
    <row r="17" spans="1:13" x14ac:dyDescent="0.45">
      <c r="A17" s="61" t="s">
        <v>76</v>
      </c>
      <c r="B17" s="25">
        <v>2.0714655618850338E-2</v>
      </c>
      <c r="C17" s="3">
        <v>1.6359918200408999E-2</v>
      </c>
      <c r="D17" s="6">
        <v>2.5183630640083946E-2</v>
      </c>
      <c r="E17" s="23">
        <v>1.0382513661202186E-2</v>
      </c>
      <c r="F17" s="3">
        <v>9.7192224622030237E-3</v>
      </c>
      <c r="G17" s="20">
        <v>1.1061946902654867E-2</v>
      </c>
      <c r="H17" s="25">
        <v>1.1420413990007138E-2</v>
      </c>
      <c r="I17" s="3">
        <v>9.3457943925233638E-3</v>
      </c>
      <c r="J17" s="6">
        <v>1.3175230566534914E-2</v>
      </c>
      <c r="K17" s="23">
        <v>9.5785440613026813E-3</v>
      </c>
      <c r="L17" s="3">
        <v>7.4074074074074077E-3</v>
      </c>
      <c r="M17" s="6">
        <v>1.1904761904761904E-2</v>
      </c>
    </row>
    <row r="18" spans="1:13" x14ac:dyDescent="0.45">
      <c r="A18" s="61" t="s">
        <v>77</v>
      </c>
      <c r="B18" s="25">
        <v>3.8451579492490937E-2</v>
      </c>
      <c r="C18" s="3">
        <v>2.9396728016359917E-2</v>
      </c>
      <c r="D18" s="6">
        <v>4.7743966421825816E-2</v>
      </c>
      <c r="E18" s="23">
        <v>3.1147540983606559E-2</v>
      </c>
      <c r="F18" s="3">
        <v>2.0518358531317494E-2</v>
      </c>
      <c r="G18" s="20">
        <v>4.2035398230088498E-2</v>
      </c>
      <c r="H18" s="25">
        <v>3.7116345467523196E-2</v>
      </c>
      <c r="I18" s="3">
        <v>2.8037383177570093E-2</v>
      </c>
      <c r="J18" s="6">
        <v>4.4795783926218712E-2</v>
      </c>
      <c r="K18" s="23">
        <v>1.532567049808429E-2</v>
      </c>
      <c r="L18" s="3">
        <v>1.4814814814814815E-2</v>
      </c>
      <c r="M18" s="6">
        <v>1.5873015873015872E-2</v>
      </c>
    </row>
    <row r="19" spans="1:13" x14ac:dyDescent="0.45">
      <c r="A19" s="61" t="s">
        <v>78</v>
      </c>
      <c r="B19" s="25">
        <v>7.0559295701708963E-2</v>
      </c>
      <c r="C19" s="3">
        <v>4.7801635991820038E-2</v>
      </c>
      <c r="D19" s="6">
        <v>9.3913955928646375E-2</v>
      </c>
      <c r="E19" s="23">
        <v>3.5519125683060107E-2</v>
      </c>
      <c r="F19" s="3">
        <v>3.0237580993520519E-2</v>
      </c>
      <c r="G19" s="20">
        <v>4.092920353982301E-2</v>
      </c>
      <c r="H19" s="25">
        <v>3.6402569593147749E-2</v>
      </c>
      <c r="I19" s="3">
        <v>1.2461059190031152E-2</v>
      </c>
      <c r="J19" s="6">
        <v>5.6653491436100128E-2</v>
      </c>
      <c r="K19" s="23">
        <v>3.4482758620689655E-2</v>
      </c>
      <c r="L19" s="3">
        <v>2.9629629629629631E-2</v>
      </c>
      <c r="M19" s="6">
        <v>3.968253968253968E-2</v>
      </c>
    </row>
    <row r="20" spans="1:13" x14ac:dyDescent="0.45">
      <c r="A20" s="61" t="s">
        <v>79</v>
      </c>
      <c r="B20" s="25">
        <v>5.5282237182806837E-2</v>
      </c>
      <c r="C20" s="3">
        <v>3.5531697341513291E-2</v>
      </c>
      <c r="D20" s="6">
        <v>7.5550891920251842E-2</v>
      </c>
      <c r="E20" s="23">
        <v>4.3715846994535519E-2</v>
      </c>
      <c r="F20" s="3">
        <v>2.4838012958963283E-2</v>
      </c>
      <c r="G20" s="20">
        <v>6.3053097345132744E-2</v>
      </c>
      <c r="H20" s="25">
        <v>5.8529621698786581E-2</v>
      </c>
      <c r="I20" s="3">
        <v>2.8037383177570093E-2</v>
      </c>
      <c r="J20" s="6">
        <v>8.4321475625823455E-2</v>
      </c>
      <c r="K20" s="23">
        <v>5.938697318007663E-2</v>
      </c>
      <c r="L20" s="3">
        <v>5.5555555555555552E-2</v>
      </c>
      <c r="M20" s="6">
        <v>6.3492063492063489E-2</v>
      </c>
    </row>
    <row r="21" spans="1:13" x14ac:dyDescent="0.45">
      <c r="A21" s="61" t="s">
        <v>80</v>
      </c>
      <c r="B21" s="25">
        <v>4.7255308130502327E-2</v>
      </c>
      <c r="C21" s="3">
        <v>3.1441717791411042E-2</v>
      </c>
      <c r="D21" s="6">
        <v>6.348373557187828E-2</v>
      </c>
      <c r="E21" s="23">
        <v>5.1366120218579232E-2</v>
      </c>
      <c r="F21" s="3">
        <v>2.8077753779697623E-2</v>
      </c>
      <c r="G21" s="20">
        <v>7.5221238938053103E-2</v>
      </c>
      <c r="H21" s="25">
        <v>4.7109207708779445E-2</v>
      </c>
      <c r="I21" s="3">
        <v>2.4922118380062305E-2</v>
      </c>
      <c r="J21" s="6">
        <v>6.5876152832674575E-2</v>
      </c>
      <c r="K21" s="23">
        <v>4.7892720306513412E-2</v>
      </c>
      <c r="L21" s="3">
        <v>4.0740740740740744E-2</v>
      </c>
      <c r="M21" s="6">
        <v>5.5555555555555552E-2</v>
      </c>
    </row>
    <row r="22" spans="1:13" x14ac:dyDescent="0.45">
      <c r="A22" s="61" t="s">
        <v>81</v>
      </c>
      <c r="B22" s="25">
        <v>4.0781978249611599E-2</v>
      </c>
      <c r="C22" s="3">
        <v>2.8374233128834355E-2</v>
      </c>
      <c r="D22" s="6">
        <v>5.3515215110178385E-2</v>
      </c>
      <c r="E22" s="23">
        <v>4.7540983606557376E-2</v>
      </c>
      <c r="F22" s="3">
        <v>2.159827213822894E-2</v>
      </c>
      <c r="G22" s="20">
        <v>7.4115044247787615E-2</v>
      </c>
      <c r="H22" s="25">
        <v>8.137044967880086E-2</v>
      </c>
      <c r="I22" s="3">
        <v>3.2710280373831772E-2</v>
      </c>
      <c r="J22" s="6">
        <v>0.1225296442687747</v>
      </c>
      <c r="K22" s="23">
        <v>3.2567049808429116E-2</v>
      </c>
      <c r="L22" s="3">
        <v>2.2222222222222223E-2</v>
      </c>
      <c r="M22" s="6">
        <v>4.3650793650793648E-2</v>
      </c>
    </row>
    <row r="23" spans="1:13" x14ac:dyDescent="0.45">
      <c r="A23" s="61" t="s">
        <v>82</v>
      </c>
      <c r="B23" s="25">
        <v>3.6639047125841533E-2</v>
      </c>
      <c r="C23" s="3">
        <v>3.4253578732106341E-2</v>
      </c>
      <c r="D23" s="6">
        <v>3.9087093389296959E-2</v>
      </c>
      <c r="E23" s="23">
        <v>4.4262295081967211E-2</v>
      </c>
      <c r="F23" s="3">
        <v>3.8876889848812095E-2</v>
      </c>
      <c r="G23" s="20">
        <v>4.9778761061946904E-2</v>
      </c>
      <c r="H23" s="25">
        <v>4.9964311206281226E-2</v>
      </c>
      <c r="I23" s="3">
        <v>3.7383177570093455E-2</v>
      </c>
      <c r="J23" s="6">
        <v>6.0606060606060608E-2</v>
      </c>
      <c r="K23" s="23">
        <v>2.2988505747126436E-2</v>
      </c>
      <c r="L23" s="3">
        <v>1.8518518518518517E-2</v>
      </c>
      <c r="M23" s="6">
        <v>2.7777777777777776E-2</v>
      </c>
    </row>
    <row r="24" spans="1:13" x14ac:dyDescent="0.45">
      <c r="A24" s="61" t="s">
        <v>83</v>
      </c>
      <c r="B24" s="25">
        <v>3.9098912480580013E-2</v>
      </c>
      <c r="C24" s="3">
        <v>3.8854805725971372E-2</v>
      </c>
      <c r="D24" s="6">
        <v>3.9349422875131164E-2</v>
      </c>
      <c r="E24" s="23">
        <v>3.6612021857923498E-2</v>
      </c>
      <c r="F24" s="3">
        <v>3.3477321814254862E-2</v>
      </c>
      <c r="G24" s="20">
        <v>3.9823008849557522E-2</v>
      </c>
      <c r="H24" s="25">
        <v>3.8543897216274089E-2</v>
      </c>
      <c r="I24" s="3">
        <v>3.2710280373831772E-2</v>
      </c>
      <c r="J24" s="6">
        <v>4.3478260869565216E-2</v>
      </c>
      <c r="K24" s="23">
        <v>2.4904214559386972E-2</v>
      </c>
      <c r="L24" s="3">
        <v>2.2222222222222223E-2</v>
      </c>
      <c r="M24" s="6">
        <v>2.7777777777777776E-2</v>
      </c>
    </row>
    <row r="25" spans="1:13" x14ac:dyDescent="0.45">
      <c r="A25" s="61" t="s">
        <v>84</v>
      </c>
      <c r="B25" s="25">
        <v>3.4826514759192129E-2</v>
      </c>
      <c r="C25" s="3">
        <v>3.3742331288343558E-2</v>
      </c>
      <c r="D25" s="6">
        <v>3.5939139559286466E-2</v>
      </c>
      <c r="E25" s="23">
        <v>4.7540983606557376E-2</v>
      </c>
      <c r="F25" s="3">
        <v>5.183585313174946E-2</v>
      </c>
      <c r="G25" s="20">
        <v>4.314159292035398E-2</v>
      </c>
      <c r="H25" s="25">
        <v>3.7116345467523196E-2</v>
      </c>
      <c r="I25" s="3">
        <v>4.0498442367601244E-2</v>
      </c>
      <c r="J25" s="6">
        <v>3.4255599472990776E-2</v>
      </c>
      <c r="K25" s="23">
        <v>4.0229885057471264E-2</v>
      </c>
      <c r="L25" s="3">
        <v>4.0740740740740744E-2</v>
      </c>
      <c r="M25" s="6">
        <v>3.968253968253968E-2</v>
      </c>
    </row>
    <row r="26" spans="1:13" x14ac:dyDescent="0.45">
      <c r="A26" s="61" t="s">
        <v>85</v>
      </c>
      <c r="B26" s="25">
        <v>4.4795442775763854E-2</v>
      </c>
      <c r="C26" s="3">
        <v>5.0357873210633945E-2</v>
      </c>
      <c r="D26" s="6">
        <v>3.9087093389296959E-2</v>
      </c>
      <c r="E26" s="23">
        <v>4.1530054644808745E-2</v>
      </c>
      <c r="F26" s="3">
        <v>4.859611231101512E-2</v>
      </c>
      <c r="G26" s="20">
        <v>3.4292035398230086E-2</v>
      </c>
      <c r="H26" s="25">
        <v>4.9964311206281226E-2</v>
      </c>
      <c r="I26" s="3">
        <v>6.0747663551401869E-2</v>
      </c>
      <c r="J26" s="6">
        <v>4.0843214756258232E-2</v>
      </c>
      <c r="K26" s="23">
        <v>3.6398467432950193E-2</v>
      </c>
      <c r="L26" s="3">
        <v>4.0740740740740744E-2</v>
      </c>
      <c r="M26" s="6">
        <v>3.1746031746031744E-2</v>
      </c>
    </row>
    <row r="27" spans="1:13" x14ac:dyDescent="0.45">
      <c r="A27" s="61" t="s">
        <v>86</v>
      </c>
      <c r="B27" s="25">
        <v>5.1657172449508029E-2</v>
      </c>
      <c r="C27" s="3">
        <v>5.5214723926380369E-2</v>
      </c>
      <c r="D27" s="6">
        <v>4.8006295907660021E-2</v>
      </c>
      <c r="E27" s="23">
        <v>5.3005464480874315E-2</v>
      </c>
      <c r="F27" s="3">
        <v>4.7516198704103674E-2</v>
      </c>
      <c r="G27" s="20">
        <v>5.8628318584070797E-2</v>
      </c>
      <c r="H27" s="25">
        <v>5.2819414703783013E-2</v>
      </c>
      <c r="I27" s="3">
        <v>5.9190031152647975E-2</v>
      </c>
      <c r="J27" s="6">
        <v>4.7430830039525688E-2</v>
      </c>
      <c r="K27" s="23">
        <v>6.1302681992337162E-2</v>
      </c>
      <c r="L27" s="3">
        <v>6.2962962962962957E-2</v>
      </c>
      <c r="M27" s="6">
        <v>5.9523809523809521E-2</v>
      </c>
    </row>
    <row r="28" spans="1:13" x14ac:dyDescent="0.45">
      <c r="A28" s="61" t="s">
        <v>87</v>
      </c>
      <c r="B28" s="25">
        <v>5.6965302951838423E-2</v>
      </c>
      <c r="C28" s="3">
        <v>6.1349693251533742E-2</v>
      </c>
      <c r="D28" s="6">
        <v>5.2465897166841552E-2</v>
      </c>
      <c r="E28" s="23">
        <v>6.9945355191256831E-2</v>
      </c>
      <c r="F28" s="3">
        <v>8.3153347732181429E-2</v>
      </c>
      <c r="G28" s="20">
        <v>5.641592920353982E-2</v>
      </c>
      <c r="H28" s="25">
        <v>5.4960742326909354E-2</v>
      </c>
      <c r="I28" s="3">
        <v>6.5420560747663545E-2</v>
      </c>
      <c r="J28" s="6">
        <v>4.61133069828722E-2</v>
      </c>
      <c r="K28" s="23">
        <v>6.8965517241379309E-2</v>
      </c>
      <c r="L28" s="3">
        <v>8.5185185185185183E-2</v>
      </c>
      <c r="M28" s="6">
        <v>5.1587301587301584E-2</v>
      </c>
    </row>
    <row r="29" spans="1:13" x14ac:dyDescent="0.45">
      <c r="A29" s="61" t="s">
        <v>88</v>
      </c>
      <c r="B29" s="25">
        <v>6.8876229932677363E-2</v>
      </c>
      <c r="C29" s="3">
        <v>7.4642126789366048E-2</v>
      </c>
      <c r="D29" s="6">
        <v>6.2959076600209857E-2</v>
      </c>
      <c r="E29" s="23">
        <v>7.0491803278688522E-2</v>
      </c>
      <c r="F29" s="3">
        <v>7.9913606911447083E-2</v>
      </c>
      <c r="G29" s="20">
        <v>6.0840707964601767E-2</v>
      </c>
      <c r="H29" s="25">
        <v>6.5667380442541043E-2</v>
      </c>
      <c r="I29" s="3">
        <v>7.1651090342679122E-2</v>
      </c>
      <c r="J29" s="6">
        <v>6.0606060606060608E-2</v>
      </c>
      <c r="K29" s="23">
        <v>6.3218390804597707E-2</v>
      </c>
      <c r="L29" s="3">
        <v>7.0370370370370375E-2</v>
      </c>
      <c r="M29" s="6">
        <v>5.5555555555555552E-2</v>
      </c>
    </row>
    <row r="30" spans="1:13" x14ac:dyDescent="0.45">
      <c r="A30" s="61" t="s">
        <v>89</v>
      </c>
      <c r="B30" s="25">
        <v>6.9653029518384257E-2</v>
      </c>
      <c r="C30" s="3">
        <v>7.3364008179959098E-2</v>
      </c>
      <c r="D30" s="6">
        <v>6.5844700944386145E-2</v>
      </c>
      <c r="E30" s="23">
        <v>7.4863387978142071E-2</v>
      </c>
      <c r="F30" s="3">
        <v>7.4514038876889843E-2</v>
      </c>
      <c r="G30" s="20">
        <v>7.5221238938053103E-2</v>
      </c>
      <c r="H30" s="25">
        <v>6.638115631691649E-2</v>
      </c>
      <c r="I30" s="3">
        <v>7.6323987538940805E-2</v>
      </c>
      <c r="J30" s="6">
        <v>5.7971014492753624E-2</v>
      </c>
      <c r="K30" s="23">
        <v>5.938697318007663E-2</v>
      </c>
      <c r="L30" s="3">
        <v>5.5555555555555552E-2</v>
      </c>
      <c r="M30" s="6">
        <v>6.3492063492063489E-2</v>
      </c>
    </row>
    <row r="31" spans="1:13" x14ac:dyDescent="0.45">
      <c r="A31" s="61" t="s">
        <v>90</v>
      </c>
      <c r="B31" s="25">
        <v>7.8068358363542201E-2</v>
      </c>
      <c r="C31" s="3">
        <v>9.330265848670756E-2</v>
      </c>
      <c r="D31" s="6">
        <v>6.2434417628541447E-2</v>
      </c>
      <c r="E31" s="23">
        <v>5.6830601092896178E-2</v>
      </c>
      <c r="F31" s="3">
        <v>6.6954643628509725E-2</v>
      </c>
      <c r="G31" s="20">
        <v>4.6460176991150445E-2</v>
      </c>
      <c r="H31" s="25">
        <v>5.638829407566024E-2</v>
      </c>
      <c r="I31" s="3">
        <v>7.3208722741433016E-2</v>
      </c>
      <c r="J31" s="6">
        <v>4.2160737812911728E-2</v>
      </c>
      <c r="K31" s="23">
        <v>8.8122605363984668E-2</v>
      </c>
      <c r="L31" s="3">
        <v>9.6296296296296297E-2</v>
      </c>
      <c r="M31" s="6">
        <v>7.9365079365079361E-2</v>
      </c>
    </row>
    <row r="32" spans="1:13" x14ac:dyDescent="0.45">
      <c r="A32" s="61" t="s">
        <v>91</v>
      </c>
      <c r="B32" s="25">
        <v>6.4862765406525122E-2</v>
      </c>
      <c r="C32" s="3">
        <v>7.7965235173824129E-2</v>
      </c>
      <c r="D32" s="6">
        <v>5.1416579223504719E-2</v>
      </c>
      <c r="E32" s="23">
        <v>5.737704918032787E-2</v>
      </c>
      <c r="F32" s="3">
        <v>7.3434125269978404E-2</v>
      </c>
      <c r="G32" s="20">
        <v>4.092920353982301E-2</v>
      </c>
      <c r="H32" s="25">
        <v>6.1384725196288369E-2</v>
      </c>
      <c r="I32" s="3">
        <v>8.8785046728971959E-2</v>
      </c>
      <c r="J32" s="6">
        <v>3.8208168642951248E-2</v>
      </c>
      <c r="K32" s="23">
        <v>5.938697318007663E-2</v>
      </c>
      <c r="L32" s="3">
        <v>5.5555555555555552E-2</v>
      </c>
      <c r="M32" s="6">
        <v>6.3492063492063489E-2</v>
      </c>
    </row>
    <row r="33" spans="1:13" x14ac:dyDescent="0.45">
      <c r="A33" s="61" t="s">
        <v>92</v>
      </c>
      <c r="B33" s="25">
        <v>5.5929570170895906E-2</v>
      </c>
      <c r="C33" s="3">
        <v>7.3108384458077713E-2</v>
      </c>
      <c r="D33" s="6">
        <v>3.8300104931794331E-2</v>
      </c>
      <c r="E33" s="23">
        <v>6.9945355191256831E-2</v>
      </c>
      <c r="F33" s="3">
        <v>9.6112311015118787E-2</v>
      </c>
      <c r="G33" s="20">
        <v>4.314159292035398E-2</v>
      </c>
      <c r="H33" s="25">
        <v>5.1391862955032119E-2</v>
      </c>
      <c r="I33" s="3">
        <v>7.7881619937694699E-2</v>
      </c>
      <c r="J33" s="6">
        <v>2.8985507246376812E-2</v>
      </c>
      <c r="K33" s="23">
        <v>9.7701149425287362E-2</v>
      </c>
      <c r="L33" s="3">
        <v>9.6296296296296297E-2</v>
      </c>
      <c r="M33" s="6">
        <v>9.9206349206349201E-2</v>
      </c>
    </row>
    <row r="34" spans="1:13" x14ac:dyDescent="0.45">
      <c r="A34" s="61" t="s">
        <v>93</v>
      </c>
      <c r="B34" s="25">
        <v>4.6866908337648887E-2</v>
      </c>
      <c r="C34" s="3">
        <v>6.2372188139059308E-2</v>
      </c>
      <c r="D34" s="6">
        <v>3.0954879328436515E-2</v>
      </c>
      <c r="E34" s="23">
        <v>4.5901639344262293E-2</v>
      </c>
      <c r="F34" s="3">
        <v>5.0755939524838013E-2</v>
      </c>
      <c r="G34" s="20">
        <v>4.092920353982301E-2</v>
      </c>
      <c r="H34" s="25">
        <v>3.0692362598144184E-2</v>
      </c>
      <c r="I34" s="3">
        <v>4.6728971962616821E-2</v>
      </c>
      <c r="J34" s="6">
        <v>1.7127799736495388E-2</v>
      </c>
      <c r="K34" s="23">
        <v>7.8544061302681989E-2</v>
      </c>
      <c r="L34" s="3">
        <v>8.1481481481481488E-2</v>
      </c>
      <c r="M34" s="6">
        <v>7.5396825396825393E-2</v>
      </c>
    </row>
    <row r="35" spans="1:13" ht="14.65" thickBot="1" x14ac:dyDescent="0.5">
      <c r="A35" s="63" t="s">
        <v>94</v>
      </c>
      <c r="B35" s="26">
        <v>3.1201450025893321E-2</v>
      </c>
      <c r="C35" s="8">
        <v>3.5276073619631899E-2</v>
      </c>
      <c r="D35" s="9">
        <v>2.7019937040923401E-2</v>
      </c>
      <c r="E35" s="24">
        <v>4.7540983606557376E-2</v>
      </c>
      <c r="F35" s="8">
        <v>5.0755939524838013E-2</v>
      </c>
      <c r="G35" s="21">
        <v>4.4247787610619468E-2</v>
      </c>
      <c r="H35" s="26">
        <v>3.2119914346895075E-2</v>
      </c>
      <c r="I35" s="8">
        <v>3.8940809968847349E-2</v>
      </c>
      <c r="J35" s="9">
        <v>2.6350461133069828E-2</v>
      </c>
      <c r="K35" s="24">
        <v>4.0229885057471264E-2</v>
      </c>
      <c r="L35" s="8">
        <v>4.0740740740740744E-2</v>
      </c>
      <c r="M35" s="9">
        <v>3.968253968253968E-2</v>
      </c>
    </row>
    <row r="36" spans="1:13" x14ac:dyDescent="0.45">
      <c r="B36" s="11">
        <f t="shared" ref="B36:M36" si="0">SUM(B12:B35)</f>
        <v>1</v>
      </c>
      <c r="C36" s="11">
        <f t="shared" si="0"/>
        <v>1</v>
      </c>
      <c r="D36" s="11">
        <f t="shared" si="0"/>
        <v>1</v>
      </c>
      <c r="E36" s="11">
        <f t="shared" si="0"/>
        <v>0.99999999999999978</v>
      </c>
      <c r="F36" s="11">
        <f t="shared" si="0"/>
        <v>1</v>
      </c>
      <c r="G36" s="11">
        <f t="shared" si="0"/>
        <v>0.99999999999999989</v>
      </c>
      <c r="H36" s="11">
        <f t="shared" si="0"/>
        <v>1</v>
      </c>
      <c r="I36" s="11">
        <f t="shared" si="0"/>
        <v>0.99999999999999978</v>
      </c>
      <c r="J36" s="11">
        <f t="shared" si="0"/>
        <v>0.99999999999999989</v>
      </c>
      <c r="K36" s="11">
        <f t="shared" si="0"/>
        <v>1</v>
      </c>
      <c r="L36" s="11">
        <f t="shared" si="0"/>
        <v>1</v>
      </c>
      <c r="M36" s="11">
        <f t="shared" si="0"/>
        <v>1</v>
      </c>
    </row>
  </sheetData>
  <mergeCells count="27">
    <mergeCell ref="A1:M2"/>
    <mergeCell ref="A3:M3"/>
    <mergeCell ref="A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D36"/>
  <sheetViews>
    <sheetView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320</v>
      </c>
      <c r="C5" s="102"/>
      <c r="D5" s="103"/>
    </row>
    <row r="6" spans="1:4" x14ac:dyDescent="0.45">
      <c r="A6" s="61" t="s">
        <v>0</v>
      </c>
      <c r="B6" s="87" t="s">
        <v>13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4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1.6556291390728477E-3</v>
      </c>
      <c r="C12" s="3">
        <v>3.205128205128205E-3</v>
      </c>
      <c r="D12" s="6">
        <v>0</v>
      </c>
    </row>
    <row r="13" spans="1:4" x14ac:dyDescent="0.45">
      <c r="A13" s="61" t="s">
        <v>72</v>
      </c>
      <c r="B13" s="23">
        <v>8.2781456953642391E-3</v>
      </c>
      <c r="C13" s="3">
        <v>3.205128205128205E-3</v>
      </c>
      <c r="D13" s="6">
        <v>1.3698630136986301E-2</v>
      </c>
    </row>
    <row r="14" spans="1:4" x14ac:dyDescent="0.45">
      <c r="A14" s="61" t="s">
        <v>73</v>
      </c>
      <c r="B14" s="23">
        <v>6.6225165562913907E-3</v>
      </c>
      <c r="C14" s="3">
        <v>3.205128205128205E-3</v>
      </c>
      <c r="D14" s="6">
        <v>1.0273972602739725E-2</v>
      </c>
    </row>
    <row r="15" spans="1:4" x14ac:dyDescent="0.45">
      <c r="A15" s="61" t="s">
        <v>74</v>
      </c>
      <c r="B15" s="23">
        <v>4.9668874172185433E-3</v>
      </c>
      <c r="C15" s="3">
        <v>6.41025641025641E-3</v>
      </c>
      <c r="D15" s="6">
        <v>3.4246575342465752E-3</v>
      </c>
    </row>
    <row r="16" spans="1:4" x14ac:dyDescent="0.45">
      <c r="A16" s="61" t="s">
        <v>75</v>
      </c>
      <c r="B16" s="23">
        <v>8.2781456953642391E-3</v>
      </c>
      <c r="C16" s="3">
        <v>9.6153846153846159E-3</v>
      </c>
      <c r="D16" s="6">
        <v>6.8493150684931503E-3</v>
      </c>
    </row>
    <row r="17" spans="1:4" x14ac:dyDescent="0.45">
      <c r="A17" s="61" t="s">
        <v>76</v>
      </c>
      <c r="B17" s="23">
        <v>4.9668874172185427E-2</v>
      </c>
      <c r="C17" s="3">
        <v>6.0897435897435896E-2</v>
      </c>
      <c r="D17" s="6">
        <v>3.7671232876712327E-2</v>
      </c>
    </row>
    <row r="18" spans="1:4" x14ac:dyDescent="0.45">
      <c r="A18" s="61" t="s">
        <v>77</v>
      </c>
      <c r="B18" s="23">
        <v>8.4437086092715233E-2</v>
      </c>
      <c r="C18" s="3">
        <v>8.3333333333333329E-2</v>
      </c>
      <c r="D18" s="6">
        <v>8.5616438356164379E-2</v>
      </c>
    </row>
    <row r="19" spans="1:4" x14ac:dyDescent="0.45">
      <c r="A19" s="61" t="s">
        <v>78</v>
      </c>
      <c r="B19" s="23">
        <v>3.9735099337748346E-2</v>
      </c>
      <c r="C19" s="3">
        <v>3.5256410256410256E-2</v>
      </c>
      <c r="D19" s="6">
        <v>4.4520547945205477E-2</v>
      </c>
    </row>
    <row r="20" spans="1:4" x14ac:dyDescent="0.45">
      <c r="A20" s="61" t="s">
        <v>79</v>
      </c>
      <c r="B20" s="23">
        <v>6.6225165562913912E-2</v>
      </c>
      <c r="C20" s="3">
        <v>7.0512820512820512E-2</v>
      </c>
      <c r="D20" s="6">
        <v>6.1643835616438353E-2</v>
      </c>
    </row>
    <row r="21" spans="1:4" x14ac:dyDescent="0.45">
      <c r="A21" s="61" t="s">
        <v>80</v>
      </c>
      <c r="B21" s="23">
        <v>7.9470198675496692E-2</v>
      </c>
      <c r="C21" s="3">
        <v>6.7307692307692304E-2</v>
      </c>
      <c r="D21" s="6">
        <v>9.2465753424657529E-2</v>
      </c>
    </row>
    <row r="22" spans="1:4" x14ac:dyDescent="0.45">
      <c r="A22" s="61" t="s">
        <v>81</v>
      </c>
      <c r="B22" s="23">
        <v>7.1192052980132453E-2</v>
      </c>
      <c r="C22" s="3">
        <v>5.7692307692307696E-2</v>
      </c>
      <c r="D22" s="6">
        <v>8.5616438356164379E-2</v>
      </c>
    </row>
    <row r="23" spans="1:4" x14ac:dyDescent="0.45">
      <c r="A23" s="61" t="s">
        <v>82</v>
      </c>
      <c r="B23" s="23">
        <v>5.1324503311258277E-2</v>
      </c>
      <c r="C23" s="3">
        <v>5.4487179487179488E-2</v>
      </c>
      <c r="D23" s="6">
        <v>4.7945205479452052E-2</v>
      </c>
    </row>
    <row r="24" spans="1:4" x14ac:dyDescent="0.45">
      <c r="A24" s="61" t="s">
        <v>83</v>
      </c>
      <c r="B24" s="23">
        <v>4.4701986754966887E-2</v>
      </c>
      <c r="C24" s="3">
        <v>3.8461538461538464E-2</v>
      </c>
      <c r="D24" s="6">
        <v>5.1369863013698627E-2</v>
      </c>
    </row>
    <row r="25" spans="1:4" x14ac:dyDescent="0.45">
      <c r="A25" s="61" t="s">
        <v>84</v>
      </c>
      <c r="B25" s="23">
        <v>7.4503311258278151E-2</v>
      </c>
      <c r="C25" s="3">
        <v>6.7307692307692304E-2</v>
      </c>
      <c r="D25" s="6">
        <v>8.2191780821917804E-2</v>
      </c>
    </row>
    <row r="26" spans="1:4" x14ac:dyDescent="0.45">
      <c r="A26" s="61" t="s">
        <v>85</v>
      </c>
      <c r="B26" s="23">
        <v>4.4701986754966887E-2</v>
      </c>
      <c r="C26" s="3">
        <v>4.807692307692308E-2</v>
      </c>
      <c r="D26" s="6">
        <v>4.1095890410958902E-2</v>
      </c>
    </row>
    <row r="27" spans="1:4" x14ac:dyDescent="0.45">
      <c r="A27" s="61" t="s">
        <v>86</v>
      </c>
      <c r="B27" s="23">
        <v>5.9602649006622516E-2</v>
      </c>
      <c r="C27" s="3">
        <v>6.4102564102564097E-2</v>
      </c>
      <c r="D27" s="6">
        <v>5.4794520547945202E-2</v>
      </c>
    </row>
    <row r="28" spans="1:4" x14ac:dyDescent="0.45">
      <c r="A28" s="61" t="s">
        <v>87</v>
      </c>
      <c r="B28" s="23">
        <v>4.4701986754966887E-2</v>
      </c>
      <c r="C28" s="3">
        <v>4.1666666666666664E-2</v>
      </c>
      <c r="D28" s="6">
        <v>4.7945205479452052E-2</v>
      </c>
    </row>
    <row r="29" spans="1:4" x14ac:dyDescent="0.45">
      <c r="A29" s="61" t="s">
        <v>88</v>
      </c>
      <c r="B29" s="23">
        <v>7.1192052980132453E-2</v>
      </c>
      <c r="C29" s="3">
        <v>7.6923076923076927E-2</v>
      </c>
      <c r="D29" s="6">
        <v>6.5068493150684928E-2</v>
      </c>
    </row>
    <row r="30" spans="1:4" x14ac:dyDescent="0.45">
      <c r="A30" s="61" t="s">
        <v>89</v>
      </c>
      <c r="B30" s="23">
        <v>7.1192052980132453E-2</v>
      </c>
      <c r="C30" s="3">
        <v>8.9743589743589744E-2</v>
      </c>
      <c r="D30" s="6">
        <v>5.1369863013698627E-2</v>
      </c>
    </row>
    <row r="31" spans="1:4" x14ac:dyDescent="0.45">
      <c r="A31" s="61" t="s">
        <v>90</v>
      </c>
      <c r="B31" s="23">
        <v>2.9801324503311258E-2</v>
      </c>
      <c r="C31" s="3">
        <v>2.8846153846153848E-2</v>
      </c>
      <c r="D31" s="6">
        <v>3.0821917808219176E-2</v>
      </c>
    </row>
    <row r="32" spans="1:4" x14ac:dyDescent="0.45">
      <c r="A32" s="61" t="s">
        <v>91</v>
      </c>
      <c r="B32" s="23">
        <v>4.4701986754966887E-2</v>
      </c>
      <c r="C32" s="3">
        <v>5.4487179487179488E-2</v>
      </c>
      <c r="D32" s="6">
        <v>3.4246575342465752E-2</v>
      </c>
    </row>
    <row r="33" spans="1:4" x14ac:dyDescent="0.45">
      <c r="A33" s="61" t="s">
        <v>92</v>
      </c>
      <c r="B33" s="23">
        <v>1.3245033112582781E-2</v>
      </c>
      <c r="C33" s="3">
        <v>6.41025641025641E-3</v>
      </c>
      <c r="D33" s="6">
        <v>2.0547945205479451E-2</v>
      </c>
    </row>
    <row r="34" spans="1:4" x14ac:dyDescent="0.45">
      <c r="A34" s="61" t="s">
        <v>93</v>
      </c>
      <c r="B34" s="23">
        <v>2.6490066225165563E-2</v>
      </c>
      <c r="C34" s="3">
        <v>2.564102564102564E-2</v>
      </c>
      <c r="D34" s="6">
        <v>2.7397260273972601E-2</v>
      </c>
    </row>
    <row r="35" spans="1:4" ht="14.65" thickBot="1" x14ac:dyDescent="0.5">
      <c r="A35" s="63" t="s">
        <v>94</v>
      </c>
      <c r="B35" s="24">
        <v>3.3112582781456954E-3</v>
      </c>
      <c r="C35" s="8">
        <v>3.205128205128205E-3</v>
      </c>
      <c r="D35" s="9">
        <v>3.4246575342465752E-3</v>
      </c>
    </row>
    <row r="36" spans="1:4" x14ac:dyDescent="0.45">
      <c r="B36" s="11">
        <f>SUM(B12:B35)</f>
        <v>0.99999999999999978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B328-D93C-4FEC-81A1-C31C337E55F7}">
  <sheetPr>
    <tabColor rgb="FFFFFF00"/>
  </sheetPr>
  <dimension ref="A1:J36"/>
  <sheetViews>
    <sheetView workbookViewId="0">
      <selection activeCell="O17" sqref="O17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110" t="s">
        <v>70</v>
      </c>
      <c r="B1" s="111"/>
      <c r="C1" s="111"/>
      <c r="D1" s="111"/>
      <c r="E1" s="111"/>
      <c r="F1" s="111"/>
      <c r="G1" s="111"/>
      <c r="H1" s="111"/>
      <c r="I1" s="111"/>
      <c r="J1" s="112"/>
    </row>
    <row r="2" spans="1:10" ht="15" customHeight="1" x14ac:dyDescent="0.45">
      <c r="A2" s="133"/>
      <c r="B2" s="134"/>
      <c r="C2" s="134"/>
      <c r="D2" s="134"/>
      <c r="E2" s="134"/>
      <c r="F2" s="134"/>
      <c r="G2" s="134"/>
      <c r="H2" s="134"/>
      <c r="I2" s="134"/>
      <c r="J2" s="135"/>
    </row>
    <row r="3" spans="1:10" x14ac:dyDescent="0.45">
      <c r="A3" s="131" t="s">
        <v>157</v>
      </c>
      <c r="B3" s="122"/>
      <c r="C3" s="122"/>
      <c r="D3" s="122"/>
      <c r="E3" s="122"/>
      <c r="F3" s="122"/>
      <c r="G3" s="122"/>
      <c r="H3" s="122"/>
      <c r="I3" s="122"/>
      <c r="J3" s="123"/>
    </row>
    <row r="4" spans="1:10" ht="14.65" thickBot="1" x14ac:dyDescent="0.5">
      <c r="A4" s="119"/>
      <c r="B4" s="120"/>
      <c r="C4" s="120"/>
      <c r="D4" s="120"/>
      <c r="E4" s="120"/>
      <c r="F4" s="120"/>
      <c r="G4" s="120"/>
      <c r="H4" s="120"/>
      <c r="I4" s="120"/>
      <c r="J4" s="121"/>
    </row>
    <row r="5" spans="1:10" x14ac:dyDescent="0.45">
      <c r="A5" s="36" t="s">
        <v>68</v>
      </c>
      <c r="B5" s="108">
        <v>330</v>
      </c>
      <c r="C5" s="102"/>
      <c r="D5" s="103"/>
      <c r="E5" s="101">
        <v>330</v>
      </c>
      <c r="F5" s="102"/>
      <c r="G5" s="106"/>
      <c r="H5" s="108">
        <v>330</v>
      </c>
      <c r="I5" s="102"/>
      <c r="J5" s="103"/>
    </row>
    <row r="6" spans="1:10" x14ac:dyDescent="0.45">
      <c r="A6" s="37" t="s">
        <v>0</v>
      </c>
      <c r="B6" s="99" t="s">
        <v>163</v>
      </c>
      <c r="C6" s="88"/>
      <c r="D6" s="89"/>
      <c r="E6" s="87" t="s">
        <v>163</v>
      </c>
      <c r="F6" s="88"/>
      <c r="G6" s="104"/>
      <c r="H6" s="99" t="s">
        <v>163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127</v>
      </c>
      <c r="F8" s="88"/>
      <c r="G8" s="104"/>
      <c r="H8" s="99" t="s">
        <v>61</v>
      </c>
      <c r="I8" s="88"/>
      <c r="J8" s="89"/>
    </row>
    <row r="9" spans="1:10" ht="14.65" thickBot="1" x14ac:dyDescent="0.5">
      <c r="A9" s="38" t="s">
        <v>64</v>
      </c>
      <c r="B9" s="100">
        <v>1</v>
      </c>
      <c r="C9" s="91"/>
      <c r="D9" s="92"/>
      <c r="E9" s="90">
        <v>1</v>
      </c>
      <c r="F9" s="91"/>
      <c r="G9" s="105"/>
      <c r="H9" s="100">
        <v>1</v>
      </c>
      <c r="I9" s="91"/>
      <c r="J9" s="92"/>
    </row>
    <row r="10" spans="1:10" x14ac:dyDescent="0.45">
      <c r="A10" s="58"/>
      <c r="B10" s="124" t="s">
        <v>134</v>
      </c>
      <c r="C10" s="125"/>
      <c r="D10" s="126"/>
      <c r="E10" s="130" t="s">
        <v>134</v>
      </c>
      <c r="F10" s="125"/>
      <c r="G10" s="148"/>
      <c r="H10" s="124" t="s">
        <v>134</v>
      </c>
      <c r="I10" s="125"/>
      <c r="J10" s="126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56">
        <v>6.4935064935064939E-3</v>
      </c>
      <c r="C12" s="52">
        <v>3.7950664136622392E-3</v>
      </c>
      <c r="D12" s="53">
        <v>9.0744101633393835E-3</v>
      </c>
      <c r="E12" s="52">
        <v>5.9084194977843431E-3</v>
      </c>
      <c r="F12" s="52">
        <v>4.5180722891566263E-3</v>
      </c>
      <c r="G12" s="52">
        <v>7.246376811594203E-3</v>
      </c>
      <c r="H12" s="56">
        <v>1.2203389830508475E-2</v>
      </c>
      <c r="I12" s="52">
        <v>9.6418732782369149E-3</v>
      </c>
      <c r="J12" s="53">
        <v>1.4686248331108143E-2</v>
      </c>
    </row>
    <row r="13" spans="1:10" x14ac:dyDescent="0.45">
      <c r="A13" s="37" t="s">
        <v>72</v>
      </c>
      <c r="B13" s="56">
        <v>9.2764378478664194E-4</v>
      </c>
      <c r="C13" s="52">
        <v>0</v>
      </c>
      <c r="D13" s="53">
        <v>1.8148820326678765E-3</v>
      </c>
      <c r="E13" s="52">
        <v>1.4771048744460858E-3</v>
      </c>
      <c r="F13" s="52">
        <v>1.5060240963855422E-3</v>
      </c>
      <c r="G13" s="52">
        <v>1.4492753623188406E-3</v>
      </c>
      <c r="H13" s="56">
        <v>2.0338983050847458E-3</v>
      </c>
      <c r="I13" s="52">
        <v>1.3774104683195593E-3</v>
      </c>
      <c r="J13" s="53">
        <v>2.6702269692923898E-3</v>
      </c>
    </row>
    <row r="14" spans="1:10" x14ac:dyDescent="0.45">
      <c r="A14" s="37" t="s">
        <v>73</v>
      </c>
      <c r="B14" s="56">
        <v>0</v>
      </c>
      <c r="C14" s="52">
        <v>0</v>
      </c>
      <c r="D14" s="53">
        <v>0</v>
      </c>
      <c r="E14" s="52">
        <v>7.3855243722304289E-4</v>
      </c>
      <c r="F14" s="52">
        <v>0</v>
      </c>
      <c r="G14" s="52">
        <v>1.4492753623188406E-3</v>
      </c>
      <c r="H14" s="56">
        <v>3.3898305084745762E-3</v>
      </c>
      <c r="I14" s="52">
        <v>4.1322314049586778E-3</v>
      </c>
      <c r="J14" s="53">
        <v>2.6702269692923898E-3</v>
      </c>
    </row>
    <row r="15" spans="1:10" x14ac:dyDescent="0.45">
      <c r="A15" s="37" t="s">
        <v>74</v>
      </c>
      <c r="B15" s="56">
        <v>3.7105751391465678E-3</v>
      </c>
      <c r="C15" s="52">
        <v>3.7950664136622392E-3</v>
      </c>
      <c r="D15" s="53">
        <v>3.629764065335753E-3</v>
      </c>
      <c r="E15" s="52">
        <v>2.9542097488921715E-3</v>
      </c>
      <c r="F15" s="52">
        <v>3.0120481927710845E-3</v>
      </c>
      <c r="G15" s="52">
        <v>2.8985507246376812E-3</v>
      </c>
      <c r="H15" s="56">
        <v>2.7118644067796612E-3</v>
      </c>
      <c r="I15" s="52">
        <v>2.7548209366391185E-3</v>
      </c>
      <c r="J15" s="53">
        <v>2.6702269692923898E-3</v>
      </c>
    </row>
    <row r="16" spans="1:10" x14ac:dyDescent="0.45">
      <c r="A16" s="37" t="s">
        <v>75</v>
      </c>
      <c r="B16" s="56">
        <v>3.7105751391465678E-3</v>
      </c>
      <c r="C16" s="52">
        <v>7.5901328273244783E-3</v>
      </c>
      <c r="D16" s="53">
        <v>0</v>
      </c>
      <c r="E16" s="52">
        <v>4.4313146233382573E-3</v>
      </c>
      <c r="F16" s="52">
        <v>3.0120481927710845E-3</v>
      </c>
      <c r="G16" s="52">
        <v>5.7971014492753624E-3</v>
      </c>
      <c r="H16" s="56">
        <v>3.3898305084745762E-3</v>
      </c>
      <c r="I16" s="52">
        <v>4.1322314049586778E-3</v>
      </c>
      <c r="J16" s="53">
        <v>2.6702269692923898E-3</v>
      </c>
    </row>
    <row r="17" spans="1:10" x14ac:dyDescent="0.45">
      <c r="A17" s="37" t="s">
        <v>76</v>
      </c>
      <c r="B17" s="56">
        <v>4.6382189239332098E-3</v>
      </c>
      <c r="C17" s="52">
        <v>5.6925996204933585E-3</v>
      </c>
      <c r="D17" s="53">
        <v>3.629764065335753E-3</v>
      </c>
      <c r="E17" s="52">
        <v>1.1816838995568686E-2</v>
      </c>
      <c r="F17" s="52">
        <v>1.8072289156626505E-2</v>
      </c>
      <c r="G17" s="52">
        <v>5.7971014492753624E-3</v>
      </c>
      <c r="H17" s="56">
        <v>1.0169491525423728E-2</v>
      </c>
      <c r="I17" s="52">
        <v>1.2396694214876033E-2</v>
      </c>
      <c r="J17" s="53">
        <v>8.0106809078771702E-3</v>
      </c>
    </row>
    <row r="18" spans="1:10" x14ac:dyDescent="0.45">
      <c r="A18" s="37" t="s">
        <v>77</v>
      </c>
      <c r="B18" s="56">
        <v>3.525046382189239E-2</v>
      </c>
      <c r="C18" s="52">
        <v>4.1745730550284632E-2</v>
      </c>
      <c r="D18" s="53">
        <v>2.9038112522686024E-2</v>
      </c>
      <c r="E18" s="52">
        <v>2.6587887740029542E-2</v>
      </c>
      <c r="F18" s="52">
        <v>2.5602409638554216E-2</v>
      </c>
      <c r="G18" s="52">
        <v>2.753623188405797E-2</v>
      </c>
      <c r="H18" s="56">
        <v>3.1864406779661014E-2</v>
      </c>
      <c r="I18" s="52">
        <v>3.3057851239669422E-2</v>
      </c>
      <c r="J18" s="53">
        <v>3.0707610146862484E-2</v>
      </c>
    </row>
    <row r="19" spans="1:10" x14ac:dyDescent="0.45">
      <c r="A19" s="37" t="s">
        <v>78</v>
      </c>
      <c r="B19" s="56">
        <v>2.9684601113172542E-2</v>
      </c>
      <c r="C19" s="52">
        <v>3.9848197343453511E-2</v>
      </c>
      <c r="D19" s="53">
        <v>1.9963702359346643E-2</v>
      </c>
      <c r="E19" s="52">
        <v>3.9143279172821267E-2</v>
      </c>
      <c r="F19" s="52">
        <v>4.9698795180722892E-2</v>
      </c>
      <c r="G19" s="52">
        <v>2.8985507246376812E-2</v>
      </c>
      <c r="H19" s="56">
        <v>4.4745762711864409E-2</v>
      </c>
      <c r="I19" s="52">
        <v>3.9944903581267219E-2</v>
      </c>
      <c r="J19" s="53">
        <v>4.9399198931909215E-2</v>
      </c>
    </row>
    <row r="20" spans="1:10" x14ac:dyDescent="0.45">
      <c r="A20" s="37" t="s">
        <v>79</v>
      </c>
      <c r="B20" s="56">
        <v>4.3599257884972167E-2</v>
      </c>
      <c r="C20" s="52">
        <v>4.1745730550284632E-2</v>
      </c>
      <c r="D20" s="53">
        <v>4.5372050816696916E-2</v>
      </c>
      <c r="E20" s="52">
        <v>3.6927621861152143E-2</v>
      </c>
      <c r="F20" s="52">
        <v>3.9156626506024098E-2</v>
      </c>
      <c r="G20" s="52">
        <v>3.4782608695652174E-2</v>
      </c>
      <c r="H20" s="56">
        <v>4.4067796610169491E-2</v>
      </c>
      <c r="I20" s="52">
        <v>4.4077134986225897E-2</v>
      </c>
      <c r="J20" s="53">
        <v>4.4058744993324434E-2</v>
      </c>
    </row>
    <row r="21" spans="1:10" x14ac:dyDescent="0.45">
      <c r="A21" s="37" t="s">
        <v>80</v>
      </c>
      <c r="B21" s="56">
        <v>6.6790352504638217E-2</v>
      </c>
      <c r="C21" s="52">
        <v>5.8823529411764705E-2</v>
      </c>
      <c r="D21" s="53">
        <v>7.441016333938294E-2</v>
      </c>
      <c r="E21" s="52">
        <v>5.8345642540620385E-2</v>
      </c>
      <c r="F21" s="52">
        <v>5.4216867469879519E-2</v>
      </c>
      <c r="G21" s="52">
        <v>6.2318840579710148E-2</v>
      </c>
      <c r="H21" s="56">
        <v>5.3559322033898307E-2</v>
      </c>
      <c r="I21" s="52">
        <v>4.9586776859504134E-2</v>
      </c>
      <c r="J21" s="53">
        <v>5.7409879839786383E-2</v>
      </c>
    </row>
    <row r="22" spans="1:10" x14ac:dyDescent="0.45">
      <c r="A22" s="37" t="s">
        <v>81</v>
      </c>
      <c r="B22" s="56">
        <v>6.215213358070501E-2</v>
      </c>
      <c r="C22" s="52">
        <v>5.8823529411764705E-2</v>
      </c>
      <c r="D22" s="53">
        <v>6.5335753176043551E-2</v>
      </c>
      <c r="E22" s="52">
        <v>6.1299852289512555E-2</v>
      </c>
      <c r="F22" s="52">
        <v>5.8734939759036146E-2</v>
      </c>
      <c r="G22" s="52">
        <v>6.3768115942028983E-2</v>
      </c>
      <c r="H22" s="56">
        <v>8.610169491525424E-2</v>
      </c>
      <c r="I22" s="52">
        <v>8.8154269972451793E-2</v>
      </c>
      <c r="J22" s="53">
        <v>8.4112149532710276E-2</v>
      </c>
    </row>
    <row r="23" spans="1:10" x14ac:dyDescent="0.45">
      <c r="A23" s="37" t="s">
        <v>82</v>
      </c>
      <c r="B23" s="56">
        <v>6.957328385899815E-2</v>
      </c>
      <c r="C23" s="52">
        <v>6.4516129032258063E-2</v>
      </c>
      <c r="D23" s="53">
        <v>7.441016333938294E-2</v>
      </c>
      <c r="E23" s="52">
        <v>6.4254062038404725E-2</v>
      </c>
      <c r="F23" s="52">
        <v>5.4216867469879519E-2</v>
      </c>
      <c r="G23" s="52">
        <v>7.3913043478260873E-2</v>
      </c>
      <c r="H23" s="56">
        <v>6.7118644067796607E-2</v>
      </c>
      <c r="I23" s="52">
        <v>6.7493112947658404E-2</v>
      </c>
      <c r="J23" s="53">
        <v>6.6755674232309742E-2</v>
      </c>
    </row>
    <row r="24" spans="1:10" x14ac:dyDescent="0.45">
      <c r="A24" s="37" t="s">
        <v>83</v>
      </c>
      <c r="B24" s="56">
        <v>6.6790352504638217E-2</v>
      </c>
      <c r="C24" s="52">
        <v>5.6925996204933584E-2</v>
      </c>
      <c r="D24" s="53">
        <v>7.6225045372050812E-2</v>
      </c>
      <c r="E24" s="52">
        <v>7.8286558345642535E-2</v>
      </c>
      <c r="F24" s="52">
        <v>7.8313253012048195E-2</v>
      </c>
      <c r="G24" s="52">
        <v>7.8260869565217397E-2</v>
      </c>
      <c r="H24" s="56">
        <v>6.7118644067796607E-2</v>
      </c>
      <c r="I24" s="52">
        <v>7.43801652892562E-2</v>
      </c>
      <c r="J24" s="53">
        <v>6.008010680907877E-2</v>
      </c>
    </row>
    <row r="25" spans="1:10" x14ac:dyDescent="0.45">
      <c r="A25" s="37" t="s">
        <v>84</v>
      </c>
      <c r="B25" s="56">
        <v>6.4935064935064929E-2</v>
      </c>
      <c r="C25" s="52">
        <v>6.2618595825426948E-2</v>
      </c>
      <c r="D25" s="53">
        <v>6.7150635208711437E-2</v>
      </c>
      <c r="E25" s="52">
        <v>7.0162481536189064E-2</v>
      </c>
      <c r="F25" s="52">
        <v>6.0240963855421686E-2</v>
      </c>
      <c r="G25" s="52">
        <v>7.9710144927536225E-2</v>
      </c>
      <c r="H25" s="56">
        <v>6.5084745762711865E-2</v>
      </c>
      <c r="I25" s="52">
        <v>7.8512396694214878E-2</v>
      </c>
      <c r="J25" s="53">
        <v>5.2069425901201602E-2</v>
      </c>
    </row>
    <row r="26" spans="1:10" x14ac:dyDescent="0.45">
      <c r="A26" s="37" t="s">
        <v>85</v>
      </c>
      <c r="B26" s="56">
        <v>5.6586270871985159E-2</v>
      </c>
      <c r="C26" s="52">
        <v>5.6925996204933584E-2</v>
      </c>
      <c r="D26" s="53">
        <v>5.6261343012704176E-2</v>
      </c>
      <c r="E26" s="52">
        <v>6.1299852289512555E-2</v>
      </c>
      <c r="F26" s="52">
        <v>6.4759036144578314E-2</v>
      </c>
      <c r="G26" s="52">
        <v>5.7971014492753624E-2</v>
      </c>
      <c r="H26" s="56">
        <v>8.2033898305084743E-2</v>
      </c>
      <c r="I26" s="52">
        <v>7.8512396694214878E-2</v>
      </c>
      <c r="J26" s="53">
        <v>8.5447263017356473E-2</v>
      </c>
    </row>
    <row r="27" spans="1:10" x14ac:dyDescent="0.45">
      <c r="A27" s="37" t="s">
        <v>86</v>
      </c>
      <c r="B27" s="56">
        <v>5.7513914656771803E-2</v>
      </c>
      <c r="C27" s="52">
        <v>5.6925996204933584E-2</v>
      </c>
      <c r="D27" s="53">
        <v>5.8076225045372049E-2</v>
      </c>
      <c r="E27" s="52">
        <v>7.7548005908419496E-2</v>
      </c>
      <c r="F27" s="52">
        <v>6.7771084337349394E-2</v>
      </c>
      <c r="G27" s="52">
        <v>8.6956521739130432E-2</v>
      </c>
      <c r="H27" s="56">
        <v>7.3898305084745763E-2</v>
      </c>
      <c r="I27" s="52">
        <v>7.1625344352617082E-2</v>
      </c>
      <c r="J27" s="53">
        <v>7.6101468624833107E-2</v>
      </c>
    </row>
    <row r="28" spans="1:10" x14ac:dyDescent="0.45">
      <c r="A28" s="37" t="s">
        <v>87</v>
      </c>
      <c r="B28" s="56">
        <v>6.8645640074211506E-2</v>
      </c>
      <c r="C28" s="52">
        <v>5.8823529411764705E-2</v>
      </c>
      <c r="D28" s="53">
        <v>7.8039927404718698E-2</v>
      </c>
      <c r="E28" s="52">
        <v>6.7208271787296894E-2</v>
      </c>
      <c r="F28" s="52">
        <v>6.9277108433734941E-2</v>
      </c>
      <c r="G28" s="52">
        <v>6.5217391304347824E-2</v>
      </c>
      <c r="H28" s="56">
        <v>7.1186440677966104E-2</v>
      </c>
      <c r="I28" s="52">
        <v>6.4738292011019286E-2</v>
      </c>
      <c r="J28" s="53">
        <v>7.7436582109479304E-2</v>
      </c>
    </row>
    <row r="29" spans="1:10" x14ac:dyDescent="0.45">
      <c r="A29" s="37" t="s">
        <v>88</v>
      </c>
      <c r="B29" s="56">
        <v>8.0705009276437853E-2</v>
      </c>
      <c r="C29" s="52">
        <v>7.020872865275142E-2</v>
      </c>
      <c r="D29" s="53">
        <v>9.0744101633393831E-2</v>
      </c>
      <c r="E29" s="52">
        <v>8.1979320531757757E-2</v>
      </c>
      <c r="F29" s="52">
        <v>7.9819277108433728E-2</v>
      </c>
      <c r="G29" s="52">
        <v>8.4057971014492749E-2</v>
      </c>
      <c r="H29" s="56">
        <v>4.7457627118644069E-2</v>
      </c>
      <c r="I29" s="52">
        <v>3.8567493112947659E-2</v>
      </c>
      <c r="J29" s="53">
        <v>5.6074766355140186E-2</v>
      </c>
    </row>
    <row r="30" spans="1:10" x14ac:dyDescent="0.45">
      <c r="A30" s="37" t="s">
        <v>89</v>
      </c>
      <c r="B30" s="56">
        <v>5.5658627087198514E-2</v>
      </c>
      <c r="C30" s="52">
        <v>6.2618595825426948E-2</v>
      </c>
      <c r="D30" s="53">
        <v>4.9001814882032667E-2</v>
      </c>
      <c r="E30" s="52">
        <v>5.9084194977843424E-2</v>
      </c>
      <c r="F30" s="52">
        <v>6.1746987951807226E-2</v>
      </c>
      <c r="G30" s="52">
        <v>5.6521739130434782E-2</v>
      </c>
      <c r="H30" s="56">
        <v>5.2203389830508477E-2</v>
      </c>
      <c r="I30" s="52">
        <v>5.3719008264462811E-2</v>
      </c>
      <c r="J30" s="53">
        <v>5.0734312416555405E-2</v>
      </c>
    </row>
    <row r="31" spans="1:10" x14ac:dyDescent="0.45">
      <c r="A31" s="37" t="s">
        <v>90</v>
      </c>
      <c r="B31" s="56">
        <v>6.8645640074211506E-2</v>
      </c>
      <c r="C31" s="52">
        <v>7.2106261859582549E-2</v>
      </c>
      <c r="D31" s="53">
        <v>6.5335753176043551E-2</v>
      </c>
      <c r="E31" s="52">
        <v>3.8404726735598228E-2</v>
      </c>
      <c r="F31" s="52">
        <v>4.2168674698795178E-2</v>
      </c>
      <c r="G31" s="52">
        <v>3.4782608695652174E-2</v>
      </c>
      <c r="H31" s="56">
        <v>3.7966101694915252E-2</v>
      </c>
      <c r="I31" s="52">
        <v>2.7548209366391185E-2</v>
      </c>
      <c r="J31" s="53">
        <v>4.8064085447263018E-2</v>
      </c>
    </row>
    <row r="32" spans="1:10" x14ac:dyDescent="0.45">
      <c r="A32" s="37" t="s">
        <v>91</v>
      </c>
      <c r="B32" s="56">
        <v>5.1948051948051951E-2</v>
      </c>
      <c r="C32" s="52">
        <v>6.6413662239089177E-2</v>
      </c>
      <c r="D32" s="53">
        <v>3.8112522686025406E-2</v>
      </c>
      <c r="E32" s="52">
        <v>5.3175775480059084E-2</v>
      </c>
      <c r="F32" s="52">
        <v>5.8734939759036146E-2</v>
      </c>
      <c r="G32" s="52">
        <v>4.7826086956521741E-2</v>
      </c>
      <c r="H32" s="56">
        <v>3.3220338983050844E-2</v>
      </c>
      <c r="I32" s="52">
        <v>3.9944903581267219E-2</v>
      </c>
      <c r="J32" s="53">
        <v>2.67022696929239E-2</v>
      </c>
    </row>
    <row r="33" spans="1:10" x14ac:dyDescent="0.45">
      <c r="A33" s="37" t="s">
        <v>92</v>
      </c>
      <c r="B33" s="56">
        <v>5.2875695732838589E-2</v>
      </c>
      <c r="C33" s="52">
        <v>6.4516129032258063E-2</v>
      </c>
      <c r="D33" s="53">
        <v>4.1742286751361164E-2</v>
      </c>
      <c r="E33" s="52">
        <v>4.4313146233382568E-2</v>
      </c>
      <c r="F33" s="52">
        <v>4.5180722891566265E-2</v>
      </c>
      <c r="G33" s="52">
        <v>4.3478260869565216E-2</v>
      </c>
      <c r="H33" s="56">
        <v>4.3389830508474579E-2</v>
      </c>
      <c r="I33" s="52">
        <v>5.2341597796143252E-2</v>
      </c>
      <c r="J33" s="53">
        <v>3.4712950600801068E-2</v>
      </c>
    </row>
    <row r="34" spans="1:10" x14ac:dyDescent="0.45">
      <c r="A34" s="37" t="s">
        <v>93</v>
      </c>
      <c r="B34" s="56">
        <v>2.5046382189239332E-2</v>
      </c>
      <c r="C34" s="52">
        <v>2.8462998102466792E-2</v>
      </c>
      <c r="D34" s="53">
        <v>2.1778584392014518E-2</v>
      </c>
      <c r="E34" s="52">
        <v>3.2496307237813882E-2</v>
      </c>
      <c r="F34" s="52">
        <v>4.3674698795180725E-2</v>
      </c>
      <c r="G34" s="52">
        <v>2.1739130434782608E-2</v>
      </c>
      <c r="H34" s="56">
        <v>3.5254237288135593E-2</v>
      </c>
      <c r="I34" s="52">
        <v>3.8567493112947659E-2</v>
      </c>
      <c r="J34" s="53">
        <v>3.2042723631508681E-2</v>
      </c>
    </row>
    <row r="35" spans="1:10" ht="14.65" thickBot="1" x14ac:dyDescent="0.5">
      <c r="A35" s="38" t="s">
        <v>94</v>
      </c>
      <c r="B35" s="57">
        <v>2.4118738404452691E-2</v>
      </c>
      <c r="C35" s="54">
        <v>1.7077798861480076E-2</v>
      </c>
      <c r="D35" s="55">
        <v>3.0852994555353903E-2</v>
      </c>
      <c r="E35" s="54">
        <v>2.2156573116691284E-2</v>
      </c>
      <c r="F35" s="54">
        <v>1.6566265060240965E-2</v>
      </c>
      <c r="G35" s="54">
        <v>2.753623188405797E-2</v>
      </c>
      <c r="H35" s="57">
        <v>2.9830508474576273E-2</v>
      </c>
      <c r="I35" s="54">
        <v>2.4793388429752067E-2</v>
      </c>
      <c r="J35" s="55">
        <v>3.4712950600801068E-2</v>
      </c>
    </row>
    <row r="36" spans="1:10" x14ac:dyDescent="0.45">
      <c r="B36" s="51">
        <f t="shared" ref="B36:J36" si="0">SUM(B12:B35)</f>
        <v>1</v>
      </c>
      <c r="C36" s="51">
        <f t="shared" si="0"/>
        <v>1</v>
      </c>
      <c r="D36" s="51">
        <f t="shared" si="0"/>
        <v>1</v>
      </c>
      <c r="E36" s="51">
        <f t="shared" si="0"/>
        <v>1</v>
      </c>
      <c r="F36" s="51">
        <f t="shared" si="0"/>
        <v>0.99999999999999989</v>
      </c>
      <c r="G36" s="51">
        <f t="shared" si="0"/>
        <v>1.0000000000000002</v>
      </c>
      <c r="H36" s="51">
        <f t="shared" si="0"/>
        <v>0.99999999999999989</v>
      </c>
      <c r="I36" s="51">
        <f t="shared" si="0"/>
        <v>1</v>
      </c>
      <c r="J36" s="51">
        <f t="shared" si="0"/>
        <v>1.0000000000000002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26E5-97DC-47FE-9CD7-627B46A429A6}">
  <sheetPr>
    <tabColor rgb="FFFFFF00"/>
  </sheetPr>
  <dimension ref="A1:M36"/>
  <sheetViews>
    <sheetView topLeftCell="A3" workbookViewId="0">
      <selection activeCell="M35" sqref="A10:M35"/>
    </sheetView>
  </sheetViews>
  <sheetFormatPr defaultRowHeight="14.25" x14ac:dyDescent="0.45"/>
  <cols>
    <col min="1" max="1" width="17.796875" customWidth="1"/>
    <col min="2" max="7" width="17.796875" style="1" customWidth="1"/>
    <col min="8" max="13" width="17.796875" customWidth="1"/>
  </cols>
  <sheetData>
    <row r="1" spans="1:13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9"/>
    </row>
    <row r="4" spans="1:13" ht="14.65" thickBot="1" x14ac:dyDescent="0.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x14ac:dyDescent="0.45">
      <c r="A5" s="36" t="s">
        <v>68</v>
      </c>
      <c r="B5" s="108">
        <v>416</v>
      </c>
      <c r="C5" s="102"/>
      <c r="D5" s="103"/>
      <c r="E5" s="101">
        <v>416</v>
      </c>
      <c r="F5" s="102"/>
      <c r="G5" s="106"/>
      <c r="H5" s="108">
        <v>416</v>
      </c>
      <c r="I5" s="102"/>
      <c r="J5" s="103"/>
      <c r="K5" s="101">
        <v>416</v>
      </c>
      <c r="L5" s="102"/>
      <c r="M5" s="103"/>
    </row>
    <row r="6" spans="1:13" x14ac:dyDescent="0.45">
      <c r="A6" s="37" t="s">
        <v>0</v>
      </c>
      <c r="B6" s="99" t="s">
        <v>164</v>
      </c>
      <c r="C6" s="88"/>
      <c r="D6" s="89"/>
      <c r="E6" s="87" t="s">
        <v>164</v>
      </c>
      <c r="F6" s="88"/>
      <c r="G6" s="104"/>
      <c r="H6" s="99" t="s">
        <v>164</v>
      </c>
      <c r="I6" s="88"/>
      <c r="J6" s="89"/>
      <c r="K6" s="87" t="s">
        <v>164</v>
      </c>
      <c r="L6" s="88"/>
      <c r="M6" s="89"/>
    </row>
    <row r="7" spans="1:13" x14ac:dyDescent="0.45">
      <c r="A7" s="37" t="s">
        <v>54</v>
      </c>
      <c r="B7" s="99" t="s">
        <v>126</v>
      </c>
      <c r="C7" s="88"/>
      <c r="D7" s="89"/>
      <c r="E7" s="87" t="s">
        <v>126</v>
      </c>
      <c r="F7" s="88"/>
      <c r="G7" s="104"/>
      <c r="H7" s="99" t="s">
        <v>126</v>
      </c>
      <c r="I7" s="88"/>
      <c r="J7" s="89"/>
      <c r="K7" s="87" t="s">
        <v>126</v>
      </c>
      <c r="L7" s="88"/>
      <c r="M7" s="89"/>
    </row>
    <row r="8" spans="1:13" x14ac:dyDescent="0.45">
      <c r="A8" s="37" t="s">
        <v>59</v>
      </c>
      <c r="B8" s="99" t="s">
        <v>60</v>
      </c>
      <c r="C8" s="88"/>
      <c r="D8" s="89"/>
      <c r="E8" s="87" t="s">
        <v>127</v>
      </c>
      <c r="F8" s="88"/>
      <c r="G8" s="104"/>
      <c r="H8" s="99" t="s">
        <v>61</v>
      </c>
      <c r="I8" s="88"/>
      <c r="J8" s="89"/>
      <c r="K8" s="87" t="s">
        <v>63</v>
      </c>
      <c r="L8" s="88"/>
      <c r="M8" s="89"/>
    </row>
    <row r="9" spans="1:13" ht="14.65" thickBot="1" x14ac:dyDescent="0.5">
      <c r="A9" s="38" t="s">
        <v>64</v>
      </c>
      <c r="B9" s="100">
        <v>3</v>
      </c>
      <c r="C9" s="91"/>
      <c r="D9" s="92"/>
      <c r="E9" s="90">
        <v>3</v>
      </c>
      <c r="F9" s="91"/>
      <c r="G9" s="105"/>
      <c r="H9" s="100">
        <v>3</v>
      </c>
      <c r="I9" s="91"/>
      <c r="J9" s="92"/>
      <c r="K9" s="90">
        <v>3</v>
      </c>
      <c r="L9" s="91"/>
      <c r="M9" s="92"/>
    </row>
    <row r="10" spans="1:13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101" t="s">
        <v>134</v>
      </c>
      <c r="L10" s="102"/>
      <c r="M10" s="103"/>
    </row>
    <row r="11" spans="1:13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5" t="s">
        <v>67</v>
      </c>
    </row>
    <row r="12" spans="1:13" x14ac:dyDescent="0.45">
      <c r="A12" s="37" t="s">
        <v>71</v>
      </c>
      <c r="B12" s="25">
        <v>5.3191489361702126E-3</v>
      </c>
      <c r="C12" s="3">
        <v>7.9545454545454537E-3</v>
      </c>
      <c r="D12" s="6">
        <v>2.4630541871921183E-3</v>
      </c>
      <c r="E12" s="23">
        <v>4.8831531217300318E-3</v>
      </c>
      <c r="F12" s="3">
        <v>7.9656862745098034E-3</v>
      </c>
      <c r="G12" s="20">
        <v>8.0971659919028337E-4</v>
      </c>
      <c r="H12" s="25">
        <v>9.8911968348170121E-3</v>
      </c>
      <c r="I12" s="3">
        <v>1.464035646085296E-2</v>
      </c>
      <c r="J12" s="6">
        <v>4.7879616963064295E-3</v>
      </c>
      <c r="K12" s="23">
        <v>9.7457627118644075E-3</v>
      </c>
      <c r="L12" s="3">
        <v>1.634320735444331E-2</v>
      </c>
      <c r="M12" s="6">
        <v>5.0687907313540911E-3</v>
      </c>
    </row>
    <row r="13" spans="1:13" x14ac:dyDescent="0.45">
      <c r="A13" s="37" t="s">
        <v>72</v>
      </c>
      <c r="B13" s="25">
        <v>1.1820330969267139E-3</v>
      </c>
      <c r="C13" s="3">
        <v>2.2727272727272726E-3</v>
      </c>
      <c r="D13" s="6">
        <v>0</v>
      </c>
      <c r="E13" s="23">
        <v>2.4415765608650159E-3</v>
      </c>
      <c r="F13" s="3">
        <v>3.6764705882352941E-3</v>
      </c>
      <c r="G13" s="20">
        <v>8.0971659919028337E-4</v>
      </c>
      <c r="H13" s="25">
        <v>4.945598417408506E-3</v>
      </c>
      <c r="I13" s="3">
        <v>7.0019096117122856E-3</v>
      </c>
      <c r="J13" s="6">
        <v>2.7359781121751026E-3</v>
      </c>
      <c r="K13" s="23">
        <v>5.084745762711864E-3</v>
      </c>
      <c r="L13" s="3">
        <v>1.0214504596527068E-2</v>
      </c>
      <c r="M13" s="6">
        <v>1.448225923244026E-3</v>
      </c>
    </row>
    <row r="14" spans="1:13" x14ac:dyDescent="0.45">
      <c r="A14" s="37" t="s">
        <v>73</v>
      </c>
      <c r="B14" s="25">
        <v>2.9550827423167848E-3</v>
      </c>
      <c r="C14" s="3">
        <v>3.4090909090909089E-3</v>
      </c>
      <c r="D14" s="6">
        <v>2.4630541871921183E-3</v>
      </c>
      <c r="E14" s="23">
        <v>1.3951866062085804E-3</v>
      </c>
      <c r="F14" s="3">
        <v>1.838235294117647E-3</v>
      </c>
      <c r="G14" s="20">
        <v>8.0971659919028337E-4</v>
      </c>
      <c r="H14" s="25">
        <v>1.9782393669634025E-3</v>
      </c>
      <c r="I14" s="3">
        <v>2.546148949713558E-3</v>
      </c>
      <c r="J14" s="6">
        <v>1.3679890560875513E-3</v>
      </c>
      <c r="K14" s="23">
        <v>4.2372881355932203E-3</v>
      </c>
      <c r="L14" s="3">
        <v>7.1501532175689483E-3</v>
      </c>
      <c r="M14" s="6">
        <v>2.1723388848660392E-3</v>
      </c>
    </row>
    <row r="15" spans="1:13" x14ac:dyDescent="0.45">
      <c r="A15" s="37" t="s">
        <v>74</v>
      </c>
      <c r="B15" s="25">
        <v>0</v>
      </c>
      <c r="C15" s="3">
        <v>0</v>
      </c>
      <c r="D15" s="6">
        <v>0</v>
      </c>
      <c r="E15" s="23">
        <v>0</v>
      </c>
      <c r="F15" s="3">
        <v>0</v>
      </c>
      <c r="G15" s="20">
        <v>0</v>
      </c>
      <c r="H15" s="25">
        <v>1.3188262446422684E-3</v>
      </c>
      <c r="I15" s="3">
        <v>1.273074474856779E-3</v>
      </c>
      <c r="J15" s="6">
        <v>1.3679890560875513E-3</v>
      </c>
      <c r="K15" s="23">
        <v>1.6949152542372881E-3</v>
      </c>
      <c r="L15" s="3">
        <v>1.0214504596527069E-3</v>
      </c>
      <c r="M15" s="6">
        <v>2.1723388848660392E-3</v>
      </c>
    </row>
    <row r="16" spans="1:13" x14ac:dyDescent="0.45">
      <c r="A16" s="37" t="s">
        <v>75</v>
      </c>
      <c r="B16" s="25">
        <v>3.5460992907801418E-3</v>
      </c>
      <c r="C16" s="3">
        <v>0</v>
      </c>
      <c r="D16" s="6">
        <v>7.3891625615763543E-3</v>
      </c>
      <c r="E16" s="23">
        <v>3.4879665155214509E-3</v>
      </c>
      <c r="F16" s="3">
        <v>1.2254901960784314E-3</v>
      </c>
      <c r="G16" s="20">
        <v>6.4777327935222669E-3</v>
      </c>
      <c r="H16" s="25">
        <v>2.967359050445104E-3</v>
      </c>
      <c r="I16" s="3">
        <v>3.1826861871419479E-3</v>
      </c>
      <c r="J16" s="6">
        <v>2.7359781121751026E-3</v>
      </c>
      <c r="K16" s="23">
        <v>2.1186440677966102E-3</v>
      </c>
      <c r="L16" s="3">
        <v>1.0214504596527069E-3</v>
      </c>
      <c r="M16" s="6">
        <v>2.8964518464880519E-3</v>
      </c>
    </row>
    <row r="17" spans="1:13" x14ac:dyDescent="0.45">
      <c r="A17" s="37" t="s">
        <v>76</v>
      </c>
      <c r="B17" s="25">
        <v>1.0047281323877069E-2</v>
      </c>
      <c r="C17" s="3">
        <v>2.2727272727272726E-3</v>
      </c>
      <c r="D17" s="6">
        <v>1.8472906403940888E-2</v>
      </c>
      <c r="E17" s="23">
        <v>4.534356470177886E-3</v>
      </c>
      <c r="F17" s="3">
        <v>1.2254901960784314E-3</v>
      </c>
      <c r="G17" s="20">
        <v>8.9068825910931168E-3</v>
      </c>
      <c r="H17" s="25">
        <v>2.3079459281239697E-3</v>
      </c>
      <c r="I17" s="3">
        <v>6.3653723742838951E-4</v>
      </c>
      <c r="J17" s="6">
        <v>4.1039671682626538E-3</v>
      </c>
      <c r="K17" s="23">
        <v>9.3220338983050852E-3</v>
      </c>
      <c r="L17" s="3">
        <v>6.1287027579162408E-3</v>
      </c>
      <c r="M17" s="6">
        <v>1.1585807385952208E-2</v>
      </c>
    </row>
    <row r="18" spans="1:13" x14ac:dyDescent="0.45">
      <c r="A18" s="37" t="s">
        <v>77</v>
      </c>
      <c r="B18" s="25">
        <v>1.9503546099290781E-2</v>
      </c>
      <c r="C18" s="3">
        <v>4.5454545454545452E-3</v>
      </c>
      <c r="D18" s="6">
        <v>3.5714285714285712E-2</v>
      </c>
      <c r="E18" s="23">
        <v>1.77886292291594E-2</v>
      </c>
      <c r="F18" s="3">
        <v>4.2892156862745102E-3</v>
      </c>
      <c r="G18" s="20">
        <v>3.5627530364372467E-2</v>
      </c>
      <c r="H18" s="25">
        <v>1.4507088691064951E-2</v>
      </c>
      <c r="I18" s="3">
        <v>5.0922978994271161E-3</v>
      </c>
      <c r="J18" s="6">
        <v>2.4623803009575923E-2</v>
      </c>
      <c r="K18" s="23">
        <v>1.7796610169491526E-2</v>
      </c>
      <c r="L18" s="3">
        <v>7.1501532175689483E-3</v>
      </c>
      <c r="M18" s="6">
        <v>2.5343953656770456E-2</v>
      </c>
    </row>
    <row r="19" spans="1:13" x14ac:dyDescent="0.45">
      <c r="A19" s="37" t="s">
        <v>78</v>
      </c>
      <c r="B19" s="25">
        <v>3.6052009456264779E-2</v>
      </c>
      <c r="C19" s="3">
        <v>2.3863636363636365E-2</v>
      </c>
      <c r="D19" s="6">
        <v>4.9261083743842367E-2</v>
      </c>
      <c r="E19" s="23">
        <v>3.5228461806766656E-2</v>
      </c>
      <c r="F19" s="3">
        <v>2.1446078431372549E-2</v>
      </c>
      <c r="G19" s="20">
        <v>5.3441295546558708E-2</v>
      </c>
      <c r="H19" s="25">
        <v>3.5938015166501816E-2</v>
      </c>
      <c r="I19" s="3">
        <v>2.2278803309993635E-2</v>
      </c>
      <c r="J19" s="6">
        <v>5.0615595075239397E-2</v>
      </c>
      <c r="K19" s="23">
        <v>3.9406779661016952E-2</v>
      </c>
      <c r="L19" s="3">
        <v>2.5536261491317672E-2</v>
      </c>
      <c r="M19" s="6">
        <v>4.9239681390296886E-2</v>
      </c>
    </row>
    <row r="20" spans="1:13" x14ac:dyDescent="0.45">
      <c r="A20" s="37" t="s">
        <v>79</v>
      </c>
      <c r="B20" s="25">
        <v>4.8463356973995272E-2</v>
      </c>
      <c r="C20" s="3">
        <v>2.9545454545454545E-2</v>
      </c>
      <c r="D20" s="6">
        <v>6.8965517241379309E-2</v>
      </c>
      <c r="E20" s="23">
        <v>3.55772584583188E-2</v>
      </c>
      <c r="F20" s="3">
        <v>2.1446078431372549E-2</v>
      </c>
      <c r="G20" s="20">
        <v>5.4251012145748991E-2</v>
      </c>
      <c r="H20" s="25">
        <v>4.8466864490603362E-2</v>
      </c>
      <c r="I20" s="3">
        <v>2.6734563971992361E-2</v>
      </c>
      <c r="J20" s="6">
        <v>7.1819425444596449E-2</v>
      </c>
      <c r="K20" s="23">
        <v>4.6186440677966102E-2</v>
      </c>
      <c r="L20" s="3">
        <v>3.7793667007150152E-2</v>
      </c>
      <c r="M20" s="6">
        <v>5.213613323678494E-2</v>
      </c>
    </row>
    <row r="21" spans="1:13" x14ac:dyDescent="0.45">
      <c r="A21" s="37" t="s">
        <v>80</v>
      </c>
      <c r="B21" s="25">
        <v>5.7328605200945626E-2</v>
      </c>
      <c r="C21" s="3">
        <v>3.7499999999999999E-2</v>
      </c>
      <c r="D21" s="6">
        <v>7.8817733990147784E-2</v>
      </c>
      <c r="E21" s="23">
        <v>4.0809208231600974E-2</v>
      </c>
      <c r="F21" s="3">
        <v>2.3284313725490197E-2</v>
      </c>
      <c r="G21" s="20">
        <v>6.396761133603239E-2</v>
      </c>
      <c r="H21" s="25">
        <v>5.8028354764259805E-2</v>
      </c>
      <c r="I21" s="3">
        <v>3.5646085295989817E-2</v>
      </c>
      <c r="J21" s="6">
        <v>8.2079343365253077E-2</v>
      </c>
      <c r="K21" s="23">
        <v>7.7542372881355931E-2</v>
      </c>
      <c r="L21" s="3">
        <v>3.7793667007150152E-2</v>
      </c>
      <c r="M21" s="6">
        <v>0.1057204923968139</v>
      </c>
    </row>
    <row r="22" spans="1:13" x14ac:dyDescent="0.45">
      <c r="A22" s="37" t="s">
        <v>81</v>
      </c>
      <c r="B22" s="25">
        <v>6.3829787234042548E-2</v>
      </c>
      <c r="C22" s="3">
        <v>4.2045454545454546E-2</v>
      </c>
      <c r="D22" s="6">
        <v>8.7438423645320201E-2</v>
      </c>
      <c r="E22" s="23">
        <v>5.6853854202999654E-2</v>
      </c>
      <c r="F22" s="3">
        <v>4.2279411764705885E-2</v>
      </c>
      <c r="G22" s="20">
        <v>7.6113360323886645E-2</v>
      </c>
      <c r="H22" s="25">
        <v>6.9238377843719084E-2</v>
      </c>
      <c r="I22" s="3">
        <v>4.8376830044557603E-2</v>
      </c>
      <c r="J22" s="6">
        <v>9.1655266757865936E-2</v>
      </c>
      <c r="K22" s="23">
        <v>0.11016949152542373</v>
      </c>
      <c r="L22" s="3">
        <v>6.2308478038815118E-2</v>
      </c>
      <c r="M22" s="6">
        <v>0.14409847936278058</v>
      </c>
    </row>
    <row r="23" spans="1:13" x14ac:dyDescent="0.45">
      <c r="A23" s="37" t="s">
        <v>82</v>
      </c>
      <c r="B23" s="25">
        <v>6.2647754137115833E-2</v>
      </c>
      <c r="C23" s="3">
        <v>4.8863636363636366E-2</v>
      </c>
      <c r="D23" s="6">
        <v>7.7586206896551727E-2</v>
      </c>
      <c r="E23" s="23">
        <v>6.2085803976281828E-2</v>
      </c>
      <c r="F23" s="3">
        <v>4.2279411764705885E-2</v>
      </c>
      <c r="G23" s="20">
        <v>8.8259109311740885E-2</v>
      </c>
      <c r="H23" s="25">
        <v>6.8249258160237386E-2</v>
      </c>
      <c r="I23" s="3">
        <v>5.919796308084023E-2</v>
      </c>
      <c r="J23" s="6">
        <v>7.7975376196990423E-2</v>
      </c>
      <c r="K23" s="23">
        <v>8.2627118644067798E-2</v>
      </c>
      <c r="L23" s="3">
        <v>6.537282941777324E-2</v>
      </c>
      <c r="M23" s="6">
        <v>9.4858797972483713E-2</v>
      </c>
    </row>
    <row r="24" spans="1:13" x14ac:dyDescent="0.45">
      <c r="A24" s="37" t="s">
        <v>83</v>
      </c>
      <c r="B24" s="25">
        <v>6.2647754137115833E-2</v>
      </c>
      <c r="C24" s="3">
        <v>6.0227272727272727E-2</v>
      </c>
      <c r="D24" s="6">
        <v>6.5270935960591137E-2</v>
      </c>
      <c r="E24" s="23">
        <v>6.2783397279386116E-2</v>
      </c>
      <c r="F24" s="3">
        <v>6.1274509803921566E-2</v>
      </c>
      <c r="G24" s="20">
        <v>6.4777327935222673E-2</v>
      </c>
      <c r="H24" s="25">
        <v>7.2865150016485331E-2</v>
      </c>
      <c r="I24" s="3">
        <v>7.383831954169319E-2</v>
      </c>
      <c r="J24" s="6">
        <v>7.1819425444596449E-2</v>
      </c>
      <c r="K24" s="23">
        <v>6.5254237288135591E-2</v>
      </c>
      <c r="L24" s="3">
        <v>6.8437180796731362E-2</v>
      </c>
      <c r="M24" s="6">
        <v>6.2997827661115127E-2</v>
      </c>
    </row>
    <row r="25" spans="1:13" x14ac:dyDescent="0.45">
      <c r="A25" s="37" t="s">
        <v>84</v>
      </c>
      <c r="B25" s="25">
        <v>5.3782505910165486E-2</v>
      </c>
      <c r="C25" s="3">
        <v>5.909090909090909E-2</v>
      </c>
      <c r="D25" s="6">
        <v>4.8029556650246302E-2</v>
      </c>
      <c r="E25" s="23">
        <v>6.8712940355772578E-2</v>
      </c>
      <c r="F25" s="3">
        <v>6.985294117647059E-2</v>
      </c>
      <c r="G25" s="20">
        <v>6.7206477732793521E-2</v>
      </c>
      <c r="H25" s="25">
        <v>6.6600725354434551E-2</v>
      </c>
      <c r="I25" s="3">
        <v>7.4474856779121579E-2</v>
      </c>
      <c r="J25" s="6">
        <v>5.8139534883720929E-2</v>
      </c>
      <c r="K25" s="23">
        <v>5.4237288135593219E-2</v>
      </c>
      <c r="L25" s="3">
        <v>6.2308478038815118E-2</v>
      </c>
      <c r="M25" s="6">
        <v>4.8515568428674875E-2</v>
      </c>
    </row>
    <row r="26" spans="1:13" x14ac:dyDescent="0.45">
      <c r="A26" s="37" t="s">
        <v>85</v>
      </c>
      <c r="B26" s="25">
        <v>6.4420803782505906E-2</v>
      </c>
      <c r="C26" s="3">
        <v>7.3863636363636367E-2</v>
      </c>
      <c r="D26" s="6">
        <v>5.4187192118226604E-2</v>
      </c>
      <c r="E26" s="23">
        <v>6.3480990582490404E-2</v>
      </c>
      <c r="F26" s="3">
        <v>7.0465686274509803E-2</v>
      </c>
      <c r="G26" s="20">
        <v>5.4251012145748991E-2</v>
      </c>
      <c r="H26" s="25">
        <v>5.7698648203099244E-2</v>
      </c>
      <c r="I26" s="3">
        <v>6.8746021642266078E-2</v>
      </c>
      <c r="J26" s="6">
        <v>4.5827633378932968E-2</v>
      </c>
      <c r="K26" s="23">
        <v>6.9067796610169485E-2</v>
      </c>
      <c r="L26" s="3">
        <v>7.9673135852911137E-2</v>
      </c>
      <c r="M26" s="6">
        <v>6.1549601737871107E-2</v>
      </c>
    </row>
    <row r="27" spans="1:13" x14ac:dyDescent="0.45">
      <c r="A27" s="37" t="s">
        <v>86</v>
      </c>
      <c r="B27" s="25">
        <v>7.6241134751773049E-2</v>
      </c>
      <c r="C27" s="3">
        <v>9.0909090909090912E-2</v>
      </c>
      <c r="D27" s="6">
        <v>6.0344827586206899E-2</v>
      </c>
      <c r="E27" s="23">
        <v>8.1618416463201948E-2</v>
      </c>
      <c r="F27" s="3">
        <v>9.8039215686274508E-2</v>
      </c>
      <c r="G27" s="20">
        <v>5.991902834008097E-2</v>
      </c>
      <c r="H27" s="25">
        <v>7.3854269699967029E-2</v>
      </c>
      <c r="I27" s="3">
        <v>8.2749840865690649E-2</v>
      </c>
      <c r="J27" s="6">
        <v>6.429548563611491E-2</v>
      </c>
      <c r="K27" s="23">
        <v>7.2457627118644063E-2</v>
      </c>
      <c r="L27" s="3">
        <v>9.0909090909090912E-2</v>
      </c>
      <c r="M27" s="6">
        <v>5.9377262853005069E-2</v>
      </c>
    </row>
    <row r="28" spans="1:13" x14ac:dyDescent="0.45">
      <c r="A28" s="37" t="s">
        <v>87</v>
      </c>
      <c r="B28" s="25">
        <v>8.0378250591016553E-2</v>
      </c>
      <c r="C28" s="3">
        <v>9.5454545454545459E-2</v>
      </c>
      <c r="D28" s="6">
        <v>6.4039408866995079E-2</v>
      </c>
      <c r="E28" s="23">
        <v>7.6735263341471918E-2</v>
      </c>
      <c r="F28" s="3">
        <v>8.2107843137254902E-2</v>
      </c>
      <c r="G28" s="20">
        <v>6.9635627530364369E-2</v>
      </c>
      <c r="H28" s="25">
        <v>7.3524563138806467E-2</v>
      </c>
      <c r="I28" s="3">
        <v>9.1024824952259706E-2</v>
      </c>
      <c r="J28" s="6">
        <v>5.4719562243502051E-2</v>
      </c>
      <c r="K28" s="23">
        <v>7.9661016949152536E-2</v>
      </c>
      <c r="L28" s="3">
        <v>9.193054136874361E-2</v>
      </c>
      <c r="M28" s="6">
        <v>7.0963070238957274E-2</v>
      </c>
    </row>
    <row r="29" spans="1:13" x14ac:dyDescent="0.45">
      <c r="A29" s="37" t="s">
        <v>88</v>
      </c>
      <c r="B29" s="25">
        <v>7.860520094562648E-2</v>
      </c>
      <c r="C29" s="3">
        <v>8.4090909090909091E-2</v>
      </c>
      <c r="D29" s="6">
        <v>7.2660098522167482E-2</v>
      </c>
      <c r="E29" s="23">
        <v>6.9759330310429024E-2</v>
      </c>
      <c r="F29" s="3">
        <v>7.8431372549019607E-2</v>
      </c>
      <c r="G29" s="20">
        <v>5.8299595141700404E-2</v>
      </c>
      <c r="H29" s="25">
        <v>7.8140454995054398E-2</v>
      </c>
      <c r="I29" s="3">
        <v>8.4022915340547427E-2</v>
      </c>
      <c r="J29" s="6">
        <v>7.1819425444596449E-2</v>
      </c>
      <c r="K29" s="23">
        <v>6.3559322033898302E-2</v>
      </c>
      <c r="L29" s="3">
        <v>6.2308478038815118E-2</v>
      </c>
      <c r="M29" s="6">
        <v>6.4446053584359161E-2</v>
      </c>
    </row>
    <row r="30" spans="1:13" x14ac:dyDescent="0.45">
      <c r="A30" s="37" t="s">
        <v>89</v>
      </c>
      <c r="B30" s="25">
        <v>7.5650118203309691E-2</v>
      </c>
      <c r="C30" s="3">
        <v>7.3863636363636367E-2</v>
      </c>
      <c r="D30" s="6">
        <v>7.7586206896551727E-2</v>
      </c>
      <c r="E30" s="23">
        <v>8.2664806417858394E-2</v>
      </c>
      <c r="F30" s="3">
        <v>9.1911764705882359E-2</v>
      </c>
      <c r="G30" s="20">
        <v>7.0445344129554652E-2</v>
      </c>
      <c r="H30" s="25">
        <v>7.6162215628091001E-2</v>
      </c>
      <c r="I30" s="3">
        <v>8.3386378103119038E-2</v>
      </c>
      <c r="J30" s="6">
        <v>6.8399452804377564E-2</v>
      </c>
      <c r="K30" s="23">
        <v>5.8474576271186442E-2</v>
      </c>
      <c r="L30" s="3">
        <v>7.4565883554647605E-2</v>
      </c>
      <c r="M30" s="6">
        <v>4.7067342505430848E-2</v>
      </c>
    </row>
    <row r="31" spans="1:13" x14ac:dyDescent="0.45">
      <c r="A31" s="37" t="s">
        <v>90</v>
      </c>
      <c r="B31" s="25">
        <v>6.7375886524822695E-2</v>
      </c>
      <c r="C31" s="3">
        <v>7.9545454545454544E-2</v>
      </c>
      <c r="D31" s="6">
        <v>5.4187192118226604E-2</v>
      </c>
      <c r="E31" s="23">
        <v>6.8712940355772578E-2</v>
      </c>
      <c r="F31" s="3">
        <v>7.4142156862745098E-2</v>
      </c>
      <c r="G31" s="20">
        <v>6.1538461538461542E-2</v>
      </c>
      <c r="H31" s="25">
        <v>5.637982195845697E-2</v>
      </c>
      <c r="I31" s="3">
        <v>5.6651814131126674E-2</v>
      </c>
      <c r="J31" s="6">
        <v>5.6087551299589603E-2</v>
      </c>
      <c r="K31" s="23">
        <v>4.3644067796610168E-2</v>
      </c>
      <c r="L31" s="3">
        <v>5.4136874361593465E-2</v>
      </c>
      <c r="M31" s="6">
        <v>3.6205648081100654E-2</v>
      </c>
    </row>
    <row r="32" spans="1:13" x14ac:dyDescent="0.45">
      <c r="A32" s="37" t="s">
        <v>91</v>
      </c>
      <c r="B32" s="25">
        <v>5.3782505910165486E-2</v>
      </c>
      <c r="C32" s="3">
        <v>7.045454545454545E-2</v>
      </c>
      <c r="D32" s="6">
        <v>3.5714285714285712E-2</v>
      </c>
      <c r="E32" s="23">
        <v>5.8597837460760374E-2</v>
      </c>
      <c r="F32" s="3">
        <v>8.1495098039215688E-2</v>
      </c>
      <c r="G32" s="20">
        <v>2.8340080971659919E-2</v>
      </c>
      <c r="H32" s="25">
        <v>4.4180679195515993E-2</v>
      </c>
      <c r="I32" s="3">
        <v>5.47422024188415E-2</v>
      </c>
      <c r="J32" s="6">
        <v>3.2831737346101231E-2</v>
      </c>
      <c r="K32" s="23">
        <v>3.9830508474576268E-2</v>
      </c>
      <c r="L32" s="3">
        <v>6.6394279877425938E-2</v>
      </c>
      <c r="M32" s="6">
        <v>2.0999275887038378E-2</v>
      </c>
    </row>
    <row r="33" spans="1:13" x14ac:dyDescent="0.45">
      <c r="A33" s="37" t="s">
        <v>92</v>
      </c>
      <c r="B33" s="25">
        <v>4.0189125295508277E-2</v>
      </c>
      <c r="C33" s="3">
        <v>6.0227272727272727E-2</v>
      </c>
      <c r="D33" s="6">
        <v>1.8472906403940888E-2</v>
      </c>
      <c r="E33" s="23">
        <v>5.5807464248343215E-2</v>
      </c>
      <c r="F33" s="3">
        <v>7.169117647058823E-2</v>
      </c>
      <c r="G33" s="20">
        <v>3.4817813765182185E-2</v>
      </c>
      <c r="H33" s="25">
        <v>4.4180679195515993E-2</v>
      </c>
      <c r="I33" s="3">
        <v>6.1744112030553785E-2</v>
      </c>
      <c r="J33" s="6">
        <v>2.5307797537619699E-2</v>
      </c>
      <c r="K33" s="23">
        <v>3.093220338983051E-2</v>
      </c>
      <c r="L33" s="3">
        <v>4.5965270684371805E-2</v>
      </c>
      <c r="M33" s="6">
        <v>2.0275162925416364E-2</v>
      </c>
    </row>
    <row r="34" spans="1:13" x14ac:dyDescent="0.45">
      <c r="A34" s="37" t="s">
        <v>93</v>
      </c>
      <c r="B34" s="25">
        <v>2.3049645390070921E-2</v>
      </c>
      <c r="C34" s="3">
        <v>3.0681818181818182E-2</v>
      </c>
      <c r="D34" s="6">
        <v>1.4778325123152709E-2</v>
      </c>
      <c r="E34" s="23">
        <v>3.0345308685036623E-2</v>
      </c>
      <c r="F34" s="3">
        <v>3.2475490196078434E-2</v>
      </c>
      <c r="G34" s="20">
        <v>2.7530364372469637E-2</v>
      </c>
      <c r="H34" s="25">
        <v>2.1760633036597428E-2</v>
      </c>
      <c r="I34" s="3">
        <v>2.3551877784850413E-2</v>
      </c>
      <c r="J34" s="6">
        <v>1.9835841313269494E-2</v>
      </c>
      <c r="K34" s="23">
        <v>1.4830508474576272E-2</v>
      </c>
      <c r="L34" s="3">
        <v>2.247191011235955E-2</v>
      </c>
      <c r="M34" s="6">
        <v>9.4134685010861703E-3</v>
      </c>
    </row>
    <row r="35" spans="1:13" ht="14.65" thickBot="1" x14ac:dyDescent="0.5">
      <c r="A35" s="38" t="s">
        <v>94</v>
      </c>
      <c r="B35" s="26">
        <v>1.3002364066193853E-2</v>
      </c>
      <c r="C35" s="8">
        <v>1.9318181818181818E-2</v>
      </c>
      <c r="D35" s="9">
        <v>6.1576354679802959E-3</v>
      </c>
      <c r="E35" s="24">
        <v>1.5695849319846529E-2</v>
      </c>
      <c r="F35" s="8">
        <v>1.7156862745098041E-2</v>
      </c>
      <c r="G35" s="21">
        <v>1.3765182186234818E-2</v>
      </c>
      <c r="H35" s="26">
        <v>1.6815034619188922E-2</v>
      </c>
      <c r="I35" s="8">
        <v>1.8459579885423297E-2</v>
      </c>
      <c r="J35" s="9">
        <v>1.5047879616963064E-2</v>
      </c>
      <c r="K35" s="24">
        <v>2.1186440677966102E-3</v>
      </c>
      <c r="L35" s="8">
        <v>3.0643513789581204E-3</v>
      </c>
      <c r="M35" s="9">
        <v>1.448225923244026E-3</v>
      </c>
    </row>
    <row r="36" spans="1:13" x14ac:dyDescent="0.45">
      <c r="B36" s="11">
        <f t="shared" ref="B36:M36" si="0">SUM(B12:B35)</f>
        <v>1.0000000000000002</v>
      </c>
      <c r="C36" s="11">
        <f t="shared" si="0"/>
        <v>0.99999999999999989</v>
      </c>
      <c r="D36" s="11">
        <f t="shared" si="0"/>
        <v>1</v>
      </c>
      <c r="E36" s="11">
        <f t="shared" si="0"/>
        <v>1.0000000000000002</v>
      </c>
      <c r="F36" s="11">
        <f t="shared" si="0"/>
        <v>1</v>
      </c>
      <c r="G36" s="11">
        <f t="shared" si="0"/>
        <v>0.99999999999999989</v>
      </c>
      <c r="H36" s="11">
        <f t="shared" si="0"/>
        <v>0.99999999999999989</v>
      </c>
      <c r="I36" s="11">
        <f t="shared" si="0"/>
        <v>1</v>
      </c>
      <c r="J36" s="11">
        <f t="shared" si="0"/>
        <v>1</v>
      </c>
      <c r="K36" s="11">
        <f t="shared" si="0"/>
        <v>1</v>
      </c>
      <c r="L36" s="11">
        <f t="shared" si="0"/>
        <v>1</v>
      </c>
      <c r="M36" s="11">
        <f t="shared" si="0"/>
        <v>1</v>
      </c>
    </row>
  </sheetData>
  <mergeCells count="27">
    <mergeCell ref="B6:D6"/>
    <mergeCell ref="E6:G6"/>
    <mergeCell ref="B5:D5"/>
    <mergeCell ref="E5:G5"/>
    <mergeCell ref="A1:M2"/>
    <mergeCell ref="A3:M3"/>
    <mergeCell ref="A4:M4"/>
    <mergeCell ref="H5:J5"/>
    <mergeCell ref="K5:M5"/>
    <mergeCell ref="H6:J6"/>
    <mergeCell ref="K6:M6"/>
    <mergeCell ref="B10:D10"/>
    <mergeCell ref="E10:G10"/>
    <mergeCell ref="B7:D7"/>
    <mergeCell ref="E7:G7"/>
    <mergeCell ref="B8:D8"/>
    <mergeCell ref="E8:G8"/>
    <mergeCell ref="B9:D9"/>
    <mergeCell ref="E9:G9"/>
    <mergeCell ref="H10:J10"/>
    <mergeCell ref="K10:M10"/>
    <mergeCell ref="H7:J7"/>
    <mergeCell ref="K7:M7"/>
    <mergeCell ref="H8:J8"/>
    <mergeCell ref="K8:M8"/>
    <mergeCell ref="H9:J9"/>
    <mergeCell ref="K9:M9"/>
  </mergeCells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D36"/>
  <sheetViews>
    <sheetView workbookViewId="0">
      <selection activeCell="J32" sqref="J32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18" t="s">
        <v>68</v>
      </c>
      <c r="B5" s="102">
        <v>462</v>
      </c>
      <c r="C5" s="102"/>
      <c r="D5" s="103"/>
    </row>
    <row r="6" spans="1:4" x14ac:dyDescent="0.45">
      <c r="A6" s="4" t="s">
        <v>0</v>
      </c>
      <c r="B6" s="88" t="s">
        <v>14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62</v>
      </c>
      <c r="C8" s="88"/>
      <c r="D8" s="89"/>
    </row>
    <row r="9" spans="1:4" ht="14.65" thickBot="1" x14ac:dyDescent="0.5">
      <c r="A9" s="7" t="s">
        <v>64</v>
      </c>
      <c r="B9" s="91">
        <v>1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2.4000698202129517E-4</v>
      </c>
      <c r="C12" s="3">
        <v>2.7906976744186045E-4</v>
      </c>
      <c r="D12" s="6">
        <v>2.0553083476348538E-4</v>
      </c>
    </row>
    <row r="13" spans="1:4" x14ac:dyDescent="0.45">
      <c r="A13" s="61" t="s">
        <v>72</v>
      </c>
      <c r="B13" s="23">
        <v>4.3637633094780941E-5</v>
      </c>
      <c r="C13" s="3">
        <v>9.3023255813953483E-5</v>
      </c>
      <c r="D13" s="6">
        <v>0</v>
      </c>
    </row>
    <row r="14" spans="1:4" x14ac:dyDescent="0.45">
      <c r="A14" s="61" t="s">
        <v>73</v>
      </c>
      <c r="B14" s="23">
        <v>2.4000698202129517E-4</v>
      </c>
      <c r="C14" s="3">
        <v>2.7906976744186045E-4</v>
      </c>
      <c r="D14" s="6">
        <v>2.0553083476348538E-4</v>
      </c>
    </row>
    <row r="15" spans="1:4" x14ac:dyDescent="0.45">
      <c r="A15" s="61" t="s">
        <v>74</v>
      </c>
      <c r="B15" s="23">
        <v>3.4910106475824753E-4</v>
      </c>
      <c r="C15" s="3">
        <v>4.6511627906976747E-4</v>
      </c>
      <c r="D15" s="6">
        <v>2.4663700171618244E-4</v>
      </c>
    </row>
    <row r="16" spans="1:4" x14ac:dyDescent="0.45">
      <c r="A16" s="61" t="s">
        <v>75</v>
      </c>
      <c r="B16" s="23">
        <v>1.1345784604643045E-3</v>
      </c>
      <c r="C16" s="3">
        <v>1.5348837209302325E-3</v>
      </c>
      <c r="D16" s="6">
        <v>7.8101717210124445E-4</v>
      </c>
    </row>
    <row r="17" spans="1:4" x14ac:dyDescent="0.45">
      <c r="A17" s="61" t="s">
        <v>76</v>
      </c>
      <c r="B17" s="23">
        <v>4.691045557688951E-3</v>
      </c>
      <c r="C17" s="3">
        <v>6.6976744186046508E-3</v>
      </c>
      <c r="D17" s="6">
        <v>2.9185378536414927E-3</v>
      </c>
    </row>
    <row r="18" spans="1:4" x14ac:dyDescent="0.45">
      <c r="A18" s="61" t="s">
        <v>77</v>
      </c>
      <c r="B18" s="23">
        <v>1.0800314190958282E-2</v>
      </c>
      <c r="C18" s="3">
        <v>1.7209302325581394E-2</v>
      </c>
      <c r="D18" s="6">
        <v>5.1382708690871351E-3</v>
      </c>
    </row>
    <row r="19" spans="1:4" x14ac:dyDescent="0.45">
      <c r="A19" s="61" t="s">
        <v>78</v>
      </c>
      <c r="B19" s="23">
        <v>1.1629429219759121E-2</v>
      </c>
      <c r="C19" s="3">
        <v>1.5581395348837209E-2</v>
      </c>
      <c r="D19" s="6">
        <v>8.1390210566340219E-3</v>
      </c>
    </row>
    <row r="20" spans="1:4" x14ac:dyDescent="0.45">
      <c r="A20" s="61" t="s">
        <v>79</v>
      </c>
      <c r="B20" s="23">
        <v>2.0531506371094431E-2</v>
      </c>
      <c r="C20" s="3">
        <v>3.2000000000000001E-2</v>
      </c>
      <c r="D20" s="6">
        <v>1.039986023903236E-2</v>
      </c>
    </row>
    <row r="21" spans="1:4" x14ac:dyDescent="0.45">
      <c r="A21" s="61" t="s">
        <v>80</v>
      </c>
      <c r="B21" s="23">
        <v>4.5164950253098274E-2</v>
      </c>
      <c r="C21" s="3">
        <v>6.7953488372093029E-2</v>
      </c>
      <c r="D21" s="6">
        <v>2.503365567419252E-2</v>
      </c>
    </row>
    <row r="22" spans="1:4" x14ac:dyDescent="0.45">
      <c r="A22" s="61" t="s">
        <v>81</v>
      </c>
      <c r="B22" s="23">
        <v>6.6045557688950957E-2</v>
      </c>
      <c r="C22" s="3">
        <v>0.11544186046511627</v>
      </c>
      <c r="D22" s="6">
        <v>2.2402860989219908E-2</v>
      </c>
    </row>
    <row r="23" spans="1:4" x14ac:dyDescent="0.45">
      <c r="A23" s="61" t="s">
        <v>82</v>
      </c>
      <c r="B23" s="23">
        <v>0.14234595915517542</v>
      </c>
      <c r="C23" s="3">
        <v>0.27083720930232558</v>
      </c>
      <c r="D23" s="6">
        <v>2.8815423033840652E-2</v>
      </c>
    </row>
    <row r="24" spans="1:4" x14ac:dyDescent="0.45">
      <c r="A24" s="61" t="s">
        <v>83</v>
      </c>
      <c r="B24" s="23">
        <v>0.14819340198987607</v>
      </c>
      <c r="C24" s="3">
        <v>0.28632558139534886</v>
      </c>
      <c r="D24" s="6">
        <v>2.6143522181915343E-2</v>
      </c>
    </row>
    <row r="25" spans="1:4" x14ac:dyDescent="0.45">
      <c r="A25" s="61" t="s">
        <v>84</v>
      </c>
      <c r="B25" s="23">
        <v>7.9158666433932628E-2</v>
      </c>
      <c r="C25" s="3">
        <v>0.1172093023255814</v>
      </c>
      <c r="D25" s="6">
        <v>4.5545632983588366E-2</v>
      </c>
    </row>
    <row r="26" spans="1:4" x14ac:dyDescent="0.45">
      <c r="A26" s="61" t="s">
        <v>85</v>
      </c>
      <c r="B26" s="23">
        <v>5.3565194623843605E-2</v>
      </c>
      <c r="C26" s="3">
        <v>1.8790697674418606E-2</v>
      </c>
      <c r="D26" s="6">
        <v>8.4308748419981705E-2</v>
      </c>
    </row>
    <row r="27" spans="1:4" x14ac:dyDescent="0.45">
      <c r="A27" s="61" t="s">
        <v>86</v>
      </c>
      <c r="B27" s="23">
        <v>0.20911153779019026</v>
      </c>
      <c r="C27" s="3">
        <v>1.3441860465116279E-2</v>
      </c>
      <c r="D27" s="6">
        <v>0.38208182182531936</v>
      </c>
    </row>
    <row r="28" spans="1:4" x14ac:dyDescent="0.45">
      <c r="A28" s="61" t="s">
        <v>87</v>
      </c>
      <c r="B28" s="23">
        <v>0.15338628032815499</v>
      </c>
      <c r="C28" s="3">
        <v>1.013953488372093E-2</v>
      </c>
      <c r="D28" s="6">
        <v>0.28001520928177248</v>
      </c>
    </row>
    <row r="29" spans="1:4" x14ac:dyDescent="0.45">
      <c r="A29" s="61" t="s">
        <v>88</v>
      </c>
      <c r="B29" s="23">
        <v>2.7251701867690697E-2</v>
      </c>
      <c r="C29" s="3">
        <v>1.1209302325581396E-2</v>
      </c>
      <c r="D29" s="6">
        <v>4.1435016288318652E-2</v>
      </c>
    </row>
    <row r="30" spans="1:4" x14ac:dyDescent="0.45">
      <c r="A30" s="61" t="s">
        <v>89</v>
      </c>
      <c r="B30" s="23">
        <v>1.0865770640600453E-2</v>
      </c>
      <c r="C30" s="3">
        <v>6.3720930232558136E-3</v>
      </c>
      <c r="D30" s="6">
        <v>1.4839326269923646E-2</v>
      </c>
    </row>
    <row r="31" spans="1:4" x14ac:dyDescent="0.45">
      <c r="A31" s="61" t="s">
        <v>90</v>
      </c>
      <c r="B31" s="23">
        <v>7.2220282771862454E-3</v>
      </c>
      <c r="C31" s="3">
        <v>2.7441860465116279E-3</v>
      </c>
      <c r="D31" s="6">
        <v>1.1180877411133605E-2</v>
      </c>
    </row>
    <row r="32" spans="1:4" x14ac:dyDescent="0.45">
      <c r="A32" s="61" t="s">
        <v>91</v>
      </c>
      <c r="B32" s="23">
        <v>5.0401466224471985E-3</v>
      </c>
      <c r="C32" s="3">
        <v>2.6511627906976743E-3</v>
      </c>
      <c r="D32" s="6">
        <v>7.1524730497692915E-3</v>
      </c>
    </row>
    <row r="33" spans="1:4" x14ac:dyDescent="0.45">
      <c r="A33" s="61" t="s">
        <v>92</v>
      </c>
      <c r="B33" s="23">
        <v>1.4618607086751615E-3</v>
      </c>
      <c r="C33" s="3">
        <v>1.5813953488372093E-3</v>
      </c>
      <c r="D33" s="6">
        <v>1.3565035094390036E-3</v>
      </c>
    </row>
    <row r="34" spans="1:4" x14ac:dyDescent="0.45">
      <c r="A34" s="61" t="s">
        <v>93</v>
      </c>
      <c r="B34" s="23">
        <v>9.3820911153779014E-4</v>
      </c>
      <c r="C34" s="3">
        <v>7.9069767441860466E-4</v>
      </c>
      <c r="D34" s="6">
        <v>1.0687603407701241E-3</v>
      </c>
    </row>
    <row r="35" spans="1:4" ht="14.65" thickBot="1" x14ac:dyDescent="0.5">
      <c r="A35" s="63" t="s">
        <v>94</v>
      </c>
      <c r="B35" s="24">
        <v>5.8910804677954267E-4</v>
      </c>
      <c r="C35" s="8">
        <v>4.6511627906976747E-4</v>
      </c>
      <c r="D35" s="9">
        <v>6.9880483819585032E-4</v>
      </c>
    </row>
    <row r="36" spans="1:4" x14ac:dyDescent="0.45">
      <c r="B36" s="11">
        <f>SUM(B12:B35)</f>
        <v>0.99999999999999989</v>
      </c>
      <c r="C36" s="11">
        <f>SUM(C12:C35)</f>
        <v>1.0000930232558141</v>
      </c>
      <c r="D36" s="11">
        <f>SUM(D12:D35)</f>
        <v>1.00011304195912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5D4B-9EC4-4006-9F69-C053C48304DD}">
  <sheetPr>
    <tabColor rgb="FFFFFF00"/>
  </sheetPr>
  <dimension ref="A1:G36"/>
  <sheetViews>
    <sheetView workbookViewId="0">
      <selection activeCell="K17" sqref="K17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x14ac:dyDescent="0.45">
      <c r="A3" s="99" t="s">
        <v>157</v>
      </c>
      <c r="B3" s="88"/>
      <c r="C3" s="88"/>
      <c r="D3" s="88"/>
      <c r="E3" s="88"/>
      <c r="F3" s="88"/>
      <c r="G3" s="89"/>
    </row>
    <row r="4" spans="1:7" ht="14.65" thickBot="1" x14ac:dyDescent="0.5">
      <c r="A4" s="100"/>
      <c r="B4" s="91"/>
      <c r="C4" s="91"/>
      <c r="D4" s="91"/>
      <c r="E4" s="91"/>
      <c r="F4" s="91"/>
      <c r="G4" s="92"/>
    </row>
    <row r="5" spans="1:7" x14ac:dyDescent="0.45">
      <c r="A5" s="36" t="s">
        <v>68</v>
      </c>
      <c r="B5" s="108">
        <v>489</v>
      </c>
      <c r="C5" s="102"/>
      <c r="D5" s="103"/>
      <c r="E5" s="101">
        <v>489</v>
      </c>
      <c r="F5" s="102"/>
      <c r="G5" s="103"/>
    </row>
    <row r="6" spans="1:7" x14ac:dyDescent="0.45">
      <c r="A6" s="37" t="s">
        <v>0</v>
      </c>
      <c r="B6" s="99" t="s">
        <v>165</v>
      </c>
      <c r="C6" s="88"/>
      <c r="D6" s="89"/>
      <c r="E6" s="87" t="s">
        <v>165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89"/>
    </row>
    <row r="9" spans="1:7" ht="14.65" thickBot="1" x14ac:dyDescent="0.5">
      <c r="A9" s="38" t="s">
        <v>64</v>
      </c>
      <c r="B9" s="100">
        <v>3</v>
      </c>
      <c r="C9" s="91"/>
      <c r="D9" s="92"/>
      <c r="E9" s="90">
        <v>3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/>
      <c r="C12" s="3"/>
      <c r="D12" s="6"/>
      <c r="E12" s="23"/>
      <c r="F12" s="3"/>
      <c r="G12" s="6"/>
    </row>
    <row r="13" spans="1:7" x14ac:dyDescent="0.45">
      <c r="A13" s="37" t="s">
        <v>72</v>
      </c>
      <c r="B13" s="25"/>
      <c r="C13" s="3"/>
      <c r="D13" s="6"/>
      <c r="E13" s="23"/>
      <c r="F13" s="3"/>
      <c r="G13" s="6"/>
    </row>
    <row r="14" spans="1:7" x14ac:dyDescent="0.45">
      <c r="A14" s="37" t="s">
        <v>73</v>
      </c>
      <c r="B14" s="25"/>
      <c r="C14" s="3"/>
      <c r="D14" s="6"/>
      <c r="E14" s="23"/>
      <c r="F14" s="3"/>
      <c r="G14" s="6"/>
    </row>
    <row r="15" spans="1:7" x14ac:dyDescent="0.45">
      <c r="A15" s="37" t="s">
        <v>74</v>
      </c>
      <c r="B15" s="25"/>
      <c r="C15" s="3"/>
      <c r="D15" s="6"/>
      <c r="E15" s="23"/>
      <c r="F15" s="3"/>
      <c r="G15" s="6"/>
    </row>
    <row r="16" spans="1:7" x14ac:dyDescent="0.45">
      <c r="A16" s="37" t="s">
        <v>75</v>
      </c>
      <c r="B16" s="25">
        <v>1.7574692442882249E-3</v>
      </c>
      <c r="C16" s="3">
        <v>3.5618878005342831E-3</v>
      </c>
      <c r="D16" s="6">
        <v>0</v>
      </c>
      <c r="E16" s="23">
        <v>3.5063113604488078E-3</v>
      </c>
      <c r="F16" s="3">
        <v>0</v>
      </c>
      <c r="G16" s="6">
        <v>2.2123893805309734E-2</v>
      </c>
    </row>
    <row r="17" spans="1:7" x14ac:dyDescent="0.45">
      <c r="A17" s="37" t="s">
        <v>76</v>
      </c>
      <c r="B17" s="25">
        <v>1.8892794376098417E-2</v>
      </c>
      <c r="C17" s="3">
        <v>2.6714158504007122E-2</v>
      </c>
      <c r="D17" s="6">
        <v>1.1274934952298352E-2</v>
      </c>
      <c r="E17" s="23">
        <v>1.4025245441795231E-2</v>
      </c>
      <c r="F17" s="3">
        <v>0</v>
      </c>
      <c r="G17" s="6">
        <v>6.637168141592921E-2</v>
      </c>
    </row>
    <row r="18" spans="1:7" x14ac:dyDescent="0.45">
      <c r="A18" s="37" t="s">
        <v>77</v>
      </c>
      <c r="B18" s="25">
        <v>3.163444639718805E-2</v>
      </c>
      <c r="C18" s="3">
        <v>1.8699910952804988E-2</v>
      </c>
      <c r="D18" s="6">
        <v>4.4232437120555072E-2</v>
      </c>
      <c r="E18" s="23">
        <v>4.2776998597475455E-2</v>
      </c>
      <c r="F18" s="3">
        <v>2.2123893805309734E-2</v>
      </c>
      <c r="G18" s="6">
        <v>6.637168141592921E-2</v>
      </c>
    </row>
    <row r="19" spans="1:7" x14ac:dyDescent="0.45">
      <c r="A19" s="37" t="s">
        <v>78</v>
      </c>
      <c r="B19" s="25">
        <v>4.3497363796133566E-2</v>
      </c>
      <c r="C19" s="3">
        <v>6.4113980409617091E-2</v>
      </c>
      <c r="D19" s="6">
        <v>2.3417172593235037E-2</v>
      </c>
      <c r="E19" s="23">
        <v>4.2075736325385693E-2</v>
      </c>
      <c r="F19" s="3">
        <v>2.6548672566371681E-2</v>
      </c>
      <c r="G19" s="6">
        <v>1.7699115044247787E-2</v>
      </c>
    </row>
    <row r="20" spans="1:7" x14ac:dyDescent="0.45">
      <c r="A20" s="37" t="s">
        <v>79</v>
      </c>
      <c r="B20" s="25">
        <v>3.2073813708260103E-2</v>
      </c>
      <c r="C20" s="3">
        <v>4.8085485307212822E-2</v>
      </c>
      <c r="D20" s="6">
        <v>1.647875108412836E-2</v>
      </c>
      <c r="E20" s="23">
        <v>6.9424964936886394E-2</v>
      </c>
      <c r="F20" s="3">
        <v>3.5398230088495575E-2</v>
      </c>
      <c r="G20" s="6">
        <v>6.637168141592921E-2</v>
      </c>
    </row>
    <row r="21" spans="1:7" x14ac:dyDescent="0.45">
      <c r="A21" s="37" t="s">
        <v>80</v>
      </c>
      <c r="B21" s="25">
        <v>3.9982425307557121E-2</v>
      </c>
      <c r="C21" s="3">
        <v>5.5209260908281391E-2</v>
      </c>
      <c r="D21" s="6">
        <v>2.5151777970511709E-2</v>
      </c>
      <c r="E21" s="23">
        <v>6.9424964936886394E-2</v>
      </c>
      <c r="F21" s="3">
        <v>8.8495575221238937E-2</v>
      </c>
      <c r="G21" s="6">
        <v>2.2123893805309734E-2</v>
      </c>
    </row>
    <row r="22" spans="1:7" x14ac:dyDescent="0.45">
      <c r="A22" s="37" t="s">
        <v>81</v>
      </c>
      <c r="B22" s="25">
        <v>3.9103690685413008E-2</v>
      </c>
      <c r="C22" s="3">
        <v>3.6509349955476403E-2</v>
      </c>
      <c r="D22" s="6">
        <v>4.163052905464007E-2</v>
      </c>
      <c r="E22" s="23">
        <v>3.4361851332398316E-2</v>
      </c>
      <c r="F22" s="3">
        <v>1.3274336283185841E-2</v>
      </c>
      <c r="G22" s="6">
        <v>1.3274336283185841E-2</v>
      </c>
    </row>
    <row r="23" spans="1:7" x14ac:dyDescent="0.45">
      <c r="A23" s="37" t="s">
        <v>82</v>
      </c>
      <c r="B23" s="25">
        <v>5.7557117750439368E-2</v>
      </c>
      <c r="C23" s="3">
        <v>7.8361531611754229E-2</v>
      </c>
      <c r="D23" s="6">
        <v>3.7294015611448399E-2</v>
      </c>
      <c r="E23" s="23">
        <v>9.4670406732117809E-2</v>
      </c>
      <c r="F23" s="3">
        <v>4.4247787610619468E-2</v>
      </c>
      <c r="G23" s="6">
        <v>0.15486725663716813</v>
      </c>
    </row>
    <row r="24" spans="1:7" x14ac:dyDescent="0.45">
      <c r="A24" s="37" t="s">
        <v>83</v>
      </c>
      <c r="B24" s="25">
        <v>5.4920913884007029E-2</v>
      </c>
      <c r="C24" s="3">
        <v>5.7880676758682102E-2</v>
      </c>
      <c r="D24" s="6">
        <v>5.2038161318300087E-2</v>
      </c>
      <c r="E24" s="23">
        <v>6.802244039270687E-2</v>
      </c>
      <c r="F24" s="3">
        <v>8.8495575221238937E-2</v>
      </c>
      <c r="G24" s="6">
        <v>7.9646017699115043E-2</v>
      </c>
    </row>
    <row r="25" spans="1:7" x14ac:dyDescent="0.45">
      <c r="A25" s="37" t="s">
        <v>84</v>
      </c>
      <c r="B25" s="25">
        <v>3.9543057996485061E-2</v>
      </c>
      <c r="C25" s="3">
        <v>1.7809439002671415E-2</v>
      </c>
      <c r="D25" s="6">
        <v>6.0711188204683436E-2</v>
      </c>
      <c r="E25" s="23">
        <v>9.1865357643758763E-2</v>
      </c>
      <c r="F25" s="3">
        <v>4.4247787610619468E-2</v>
      </c>
      <c r="G25" s="6">
        <v>4.8672566371681415E-2</v>
      </c>
    </row>
    <row r="26" spans="1:7" x14ac:dyDescent="0.45">
      <c r="A26" s="37" t="s">
        <v>85</v>
      </c>
      <c r="B26" s="25">
        <v>5.5799648506151142E-2</v>
      </c>
      <c r="C26" s="3">
        <v>4.0071237756010687E-2</v>
      </c>
      <c r="D26" s="6">
        <v>7.1118820468343447E-2</v>
      </c>
      <c r="E26" s="23">
        <v>6.0308555399719493E-2</v>
      </c>
      <c r="F26" s="3">
        <v>0.10176991150442478</v>
      </c>
      <c r="G26" s="6">
        <v>3.5398230088495575E-2</v>
      </c>
    </row>
    <row r="27" spans="1:7" x14ac:dyDescent="0.45">
      <c r="A27" s="37" t="s">
        <v>86</v>
      </c>
      <c r="B27" s="25">
        <v>5.8435852372583481E-2</v>
      </c>
      <c r="C27" s="3">
        <v>7.7471059661620656E-2</v>
      </c>
      <c r="D27" s="6">
        <v>3.9895923677363401E-2</v>
      </c>
      <c r="E27" s="23">
        <v>8.2047685834502102E-2</v>
      </c>
      <c r="F27" s="3">
        <v>4.4247787610619468E-2</v>
      </c>
      <c r="G27" s="6">
        <v>8.8495575221238937E-2</v>
      </c>
    </row>
    <row r="28" spans="1:7" x14ac:dyDescent="0.45">
      <c r="A28" s="37" t="s">
        <v>87</v>
      </c>
      <c r="B28" s="25">
        <v>5.5360281195079089E-2</v>
      </c>
      <c r="C28" s="3">
        <v>4.1852181656277826E-2</v>
      </c>
      <c r="D28" s="6">
        <v>6.8516912402428451E-2</v>
      </c>
      <c r="E28" s="23">
        <v>4.6984572230014024E-2</v>
      </c>
      <c r="F28" s="3">
        <v>9.7345132743362831E-2</v>
      </c>
      <c r="G28" s="6">
        <v>6.1946902654867256E-2</v>
      </c>
    </row>
    <row r="29" spans="1:7" x14ac:dyDescent="0.45">
      <c r="A29" s="37" t="s">
        <v>88</v>
      </c>
      <c r="B29" s="25">
        <v>9.4024604569420037E-2</v>
      </c>
      <c r="C29" s="3">
        <v>7.0347284060552087E-2</v>
      </c>
      <c r="D29" s="6">
        <v>0.11708586296617519</v>
      </c>
      <c r="E29" s="23">
        <v>4.4880785413744739E-2</v>
      </c>
      <c r="F29" s="3">
        <v>3.9823008849557522E-2</v>
      </c>
      <c r="G29" s="6">
        <v>6.637168141592921E-2</v>
      </c>
    </row>
    <row r="30" spans="1:7" x14ac:dyDescent="0.45">
      <c r="A30" s="37" t="s">
        <v>89</v>
      </c>
      <c r="B30" s="25">
        <v>8.2161687170474521E-2</v>
      </c>
      <c r="C30" s="3">
        <v>9.5280498664292071E-2</v>
      </c>
      <c r="D30" s="6">
        <v>6.9384215091066778E-2</v>
      </c>
      <c r="E30" s="23">
        <v>6.9424964936886394E-2</v>
      </c>
      <c r="F30" s="3">
        <v>2.6548672566371681E-2</v>
      </c>
      <c r="G30" s="6">
        <v>5.7522123893805309E-2</v>
      </c>
    </row>
    <row r="31" spans="1:7" x14ac:dyDescent="0.45">
      <c r="A31" s="37" t="s">
        <v>90</v>
      </c>
      <c r="B31" s="25">
        <v>6.9420035149384884E-2</v>
      </c>
      <c r="C31" s="3">
        <v>5.9661620658949241E-2</v>
      </c>
      <c r="D31" s="6">
        <v>7.8924544666088461E-2</v>
      </c>
      <c r="E31" s="23">
        <v>5.6802244039270686E-2</v>
      </c>
      <c r="F31" s="3">
        <v>0.11504424778761062</v>
      </c>
      <c r="G31" s="6">
        <v>3.9823008849557522E-2</v>
      </c>
    </row>
    <row r="32" spans="1:7" x14ac:dyDescent="0.45">
      <c r="A32" s="37" t="s">
        <v>91</v>
      </c>
      <c r="B32" s="25">
        <v>8.43585237258348E-2</v>
      </c>
      <c r="C32" s="3">
        <v>0.10863757791629564</v>
      </c>
      <c r="D32" s="6">
        <v>6.0711188204683436E-2</v>
      </c>
      <c r="E32" s="23">
        <v>4.7685834502103785E-2</v>
      </c>
      <c r="F32" s="3">
        <v>2.2123893805309734E-2</v>
      </c>
      <c r="G32" s="6">
        <v>6.1946902654867256E-2</v>
      </c>
    </row>
    <row r="33" spans="1:7" x14ac:dyDescent="0.45">
      <c r="A33" s="37" t="s">
        <v>92</v>
      </c>
      <c r="B33" s="25">
        <v>3.9103690685413008E-2</v>
      </c>
      <c r="C33" s="3">
        <v>2.8495102404274265E-2</v>
      </c>
      <c r="D33" s="6">
        <v>4.9436253252385085E-2</v>
      </c>
      <c r="E33" s="23">
        <v>1.8934081346423562E-2</v>
      </c>
      <c r="F33" s="3">
        <v>5.3097345132743362E-2</v>
      </c>
      <c r="G33" s="6">
        <v>2.6548672566371681E-2</v>
      </c>
    </row>
    <row r="34" spans="1:7" x14ac:dyDescent="0.45">
      <c r="A34" s="37" t="s">
        <v>93</v>
      </c>
      <c r="B34" s="25">
        <v>5.3602811950790863E-2</v>
      </c>
      <c r="C34" s="3">
        <v>7.0347284060552087E-2</v>
      </c>
      <c r="D34" s="6">
        <v>3.7294015611448399E-2</v>
      </c>
      <c r="E34" s="23">
        <v>3.155680224403927E-2</v>
      </c>
      <c r="F34" s="3">
        <v>6.637168141592921E-2</v>
      </c>
      <c r="G34" s="6">
        <v>4.4247787610619468E-3</v>
      </c>
    </row>
    <row r="35" spans="1:7" ht="14.65" thickBot="1" x14ac:dyDescent="0.5">
      <c r="A35" s="38" t="s">
        <v>94</v>
      </c>
      <c r="B35" s="26">
        <v>4.8769771528998244E-2</v>
      </c>
      <c r="C35" s="8">
        <v>8.9047195013357077E-4</v>
      </c>
      <c r="D35" s="9">
        <v>9.5403295750216832E-2</v>
      </c>
      <c r="E35" s="24">
        <v>1.1220196353436185E-2</v>
      </c>
      <c r="F35" s="8">
        <v>7.0796460176991149E-2</v>
      </c>
      <c r="G35" s="9">
        <v>0</v>
      </c>
    </row>
    <row r="36" spans="1:7" x14ac:dyDescent="0.45">
      <c r="B36" s="11">
        <f t="shared" ref="B36:G36" si="0">SUM(B12:B35)</f>
        <v>1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0.99999999999999989</v>
      </c>
      <c r="G36" s="11">
        <f t="shared" si="0"/>
        <v>1</v>
      </c>
    </row>
  </sheetData>
  <mergeCells count="15">
    <mergeCell ref="B6:D6"/>
    <mergeCell ref="E6:G6"/>
    <mergeCell ref="A1:G2"/>
    <mergeCell ref="A3:G3"/>
    <mergeCell ref="A4:G4"/>
    <mergeCell ref="B5:D5"/>
    <mergeCell ref="E5:G5"/>
    <mergeCell ref="B10:D10"/>
    <mergeCell ref="E10:G10"/>
    <mergeCell ref="B7:D7"/>
    <mergeCell ref="E7:G7"/>
    <mergeCell ref="B8:D8"/>
    <mergeCell ref="E8:G8"/>
    <mergeCell ref="B9:D9"/>
    <mergeCell ref="E9:G9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AF79-989F-4078-A26A-C2D2EF8FB9FF}">
  <sheetPr>
    <tabColor rgb="FFFFFF00"/>
  </sheetPr>
  <dimension ref="A1:D36"/>
  <sheetViews>
    <sheetView workbookViewId="0">
      <selection activeCell="G25" sqref="G2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18" t="s">
        <v>68</v>
      </c>
      <c r="B5" s="102">
        <v>492</v>
      </c>
      <c r="C5" s="102"/>
      <c r="D5" s="103"/>
    </row>
    <row r="6" spans="1:4" x14ac:dyDescent="0.45">
      <c r="A6" s="4" t="s">
        <v>0</v>
      </c>
      <c r="B6" s="88" t="s">
        <v>166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1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3.6649214659685861E-2</v>
      </c>
      <c r="C18" s="3">
        <v>0</v>
      </c>
      <c r="D18" s="6">
        <v>7.2916666666666671E-2</v>
      </c>
    </row>
    <row r="19" spans="1:4" x14ac:dyDescent="0.45">
      <c r="A19" s="61" t="s">
        <v>78</v>
      </c>
      <c r="B19" s="23">
        <v>5.7591623036649213E-2</v>
      </c>
      <c r="C19" s="3">
        <v>5.2631578947368418E-2</v>
      </c>
      <c r="D19" s="6">
        <v>6.25E-2</v>
      </c>
    </row>
    <row r="20" spans="1:4" x14ac:dyDescent="0.45">
      <c r="A20" s="61" t="s">
        <v>79</v>
      </c>
      <c r="B20" s="23">
        <v>6.8062827225130892E-2</v>
      </c>
      <c r="C20" s="3">
        <v>5.2631578947368418E-2</v>
      </c>
      <c r="D20" s="6">
        <v>8.3333333333333329E-2</v>
      </c>
    </row>
    <row r="21" spans="1:4" x14ac:dyDescent="0.45">
      <c r="A21" s="61" t="s">
        <v>80</v>
      </c>
      <c r="B21" s="23">
        <v>7.3298429319371722E-2</v>
      </c>
      <c r="C21" s="3">
        <v>7.3684210526315783E-2</v>
      </c>
      <c r="D21" s="6">
        <v>7.2916666666666671E-2</v>
      </c>
    </row>
    <row r="22" spans="1:4" x14ac:dyDescent="0.45">
      <c r="A22" s="61" t="s">
        <v>81</v>
      </c>
      <c r="B22" s="23">
        <v>6.2827225130890049E-2</v>
      </c>
      <c r="C22" s="3">
        <v>7.3684210526315783E-2</v>
      </c>
      <c r="D22" s="6">
        <v>5.2083333333333336E-2</v>
      </c>
    </row>
    <row r="23" spans="1:4" x14ac:dyDescent="0.45">
      <c r="A23" s="61" t="s">
        <v>82</v>
      </c>
      <c r="B23" s="23">
        <v>4.712041884816754E-2</v>
      </c>
      <c r="C23" s="3">
        <v>2.1052631578947368E-2</v>
      </c>
      <c r="D23" s="6">
        <v>7.2916666666666671E-2</v>
      </c>
    </row>
    <row r="24" spans="1:4" x14ac:dyDescent="0.45">
      <c r="A24" s="61" t="s">
        <v>83</v>
      </c>
      <c r="B24" s="23">
        <v>7.3298429319371722E-2</v>
      </c>
      <c r="C24" s="3">
        <v>8.4210526315789472E-2</v>
      </c>
      <c r="D24" s="6">
        <v>6.25E-2</v>
      </c>
    </row>
    <row r="25" spans="1:4" x14ac:dyDescent="0.45">
      <c r="A25" s="61" t="s">
        <v>84</v>
      </c>
      <c r="B25" s="23">
        <v>5.7591623036649213E-2</v>
      </c>
      <c r="C25" s="3">
        <v>6.3157894736842107E-2</v>
      </c>
      <c r="D25" s="6">
        <v>5.2083333333333336E-2</v>
      </c>
    </row>
    <row r="26" spans="1:4" x14ac:dyDescent="0.45">
      <c r="A26" s="61" t="s">
        <v>85</v>
      </c>
      <c r="B26" s="23">
        <v>8.3769633507853408E-2</v>
      </c>
      <c r="C26" s="3">
        <v>6.3157894736842107E-2</v>
      </c>
      <c r="D26" s="6">
        <v>0.10416666666666667</v>
      </c>
    </row>
    <row r="27" spans="1:4" x14ac:dyDescent="0.45">
      <c r="A27" s="61" t="s">
        <v>86</v>
      </c>
      <c r="B27" s="23">
        <v>6.2827225130890049E-2</v>
      </c>
      <c r="C27" s="3">
        <v>8.4210526315789472E-2</v>
      </c>
      <c r="D27" s="6">
        <v>4.1666666666666664E-2</v>
      </c>
    </row>
    <row r="28" spans="1:4" x14ac:dyDescent="0.45">
      <c r="A28" s="61" t="s">
        <v>87</v>
      </c>
      <c r="B28" s="23">
        <v>6.8062827225130892E-2</v>
      </c>
      <c r="C28" s="3">
        <v>5.2631578947368418E-2</v>
      </c>
      <c r="D28" s="6">
        <v>8.3333333333333329E-2</v>
      </c>
    </row>
    <row r="29" spans="1:4" x14ac:dyDescent="0.45">
      <c r="A29" s="61" t="s">
        <v>88</v>
      </c>
      <c r="B29" s="23">
        <v>7.3298429319371722E-2</v>
      </c>
      <c r="C29" s="3">
        <v>6.3157894736842107E-2</v>
      </c>
      <c r="D29" s="6">
        <v>8.3333333333333329E-2</v>
      </c>
    </row>
    <row r="30" spans="1:4" x14ac:dyDescent="0.45">
      <c r="A30" s="61" t="s">
        <v>89</v>
      </c>
      <c r="B30" s="23">
        <v>7.8534031413612565E-2</v>
      </c>
      <c r="C30" s="3">
        <v>9.4736842105263161E-2</v>
      </c>
      <c r="D30" s="6">
        <v>6.25E-2</v>
      </c>
    </row>
    <row r="31" spans="1:4" x14ac:dyDescent="0.45">
      <c r="A31" s="61" t="s">
        <v>90</v>
      </c>
      <c r="B31" s="23">
        <v>6.2827225130890049E-2</v>
      </c>
      <c r="C31" s="3">
        <v>7.3684210526315783E-2</v>
      </c>
      <c r="D31" s="6">
        <v>5.2083333333333336E-2</v>
      </c>
    </row>
    <row r="32" spans="1:4" x14ac:dyDescent="0.45">
      <c r="A32" s="61" t="s">
        <v>91</v>
      </c>
      <c r="B32" s="23">
        <v>2.6178010471204188E-2</v>
      </c>
      <c r="C32" s="3">
        <v>3.1578947368421054E-2</v>
      </c>
      <c r="D32" s="6">
        <v>2.0833333333333332E-2</v>
      </c>
    </row>
    <row r="33" spans="1:4" x14ac:dyDescent="0.45">
      <c r="A33" s="61" t="s">
        <v>92</v>
      </c>
      <c r="B33" s="23">
        <v>3.6649214659685861E-2</v>
      </c>
      <c r="C33" s="3">
        <v>6.3157894736842107E-2</v>
      </c>
      <c r="D33" s="6">
        <v>1.0416666666666666E-2</v>
      </c>
    </row>
    <row r="34" spans="1:4" x14ac:dyDescent="0.45">
      <c r="A34" s="61" t="s">
        <v>93</v>
      </c>
      <c r="B34" s="23">
        <v>2.6178010471204188E-2</v>
      </c>
      <c r="C34" s="3">
        <v>4.2105263157894736E-2</v>
      </c>
      <c r="D34" s="6">
        <v>1.0416666666666666E-2</v>
      </c>
    </row>
    <row r="35" spans="1:4" ht="14.65" thickBot="1" x14ac:dyDescent="0.5">
      <c r="A35" s="63" t="s">
        <v>94</v>
      </c>
      <c r="B35" s="24">
        <v>5.235602094240838E-3</v>
      </c>
      <c r="C35" s="8">
        <v>1.0526315789473684E-2</v>
      </c>
      <c r="D35" s="9">
        <v>0</v>
      </c>
    </row>
    <row r="36" spans="1:4" x14ac:dyDescent="0.45">
      <c r="B36" s="11">
        <f>SUM(B12:B35)</f>
        <v>0.99999999999999978</v>
      </c>
      <c r="C36" s="11">
        <f>SUM(C12:C35)</f>
        <v>0.99999999999999989</v>
      </c>
      <c r="D36" s="11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D36"/>
  <sheetViews>
    <sheetView workbookViewId="0">
      <selection activeCell="H27" sqref="H27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495</v>
      </c>
      <c r="C5" s="102"/>
      <c r="D5" s="103"/>
    </row>
    <row r="6" spans="1:4" x14ac:dyDescent="0.45">
      <c r="A6" s="61" t="s">
        <v>0</v>
      </c>
      <c r="B6" s="87" t="s">
        <v>15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7.320644216691069E-4</v>
      </c>
      <c r="C12" s="3">
        <v>0</v>
      </c>
      <c r="D12" s="6">
        <v>1.4619883040935672E-3</v>
      </c>
    </row>
    <row r="13" spans="1:4" x14ac:dyDescent="0.45">
      <c r="A13" s="61" t="s">
        <v>72</v>
      </c>
      <c r="B13" s="23">
        <v>3.6603221083455345E-4</v>
      </c>
      <c r="C13" s="3">
        <v>0</v>
      </c>
      <c r="D13" s="6">
        <v>7.3099415204678359E-4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6.9546120058565156E-3</v>
      </c>
      <c r="C16" s="3">
        <v>1.3196480938416423E-2</v>
      </c>
      <c r="D16" s="6">
        <v>7.3099415204678359E-4</v>
      </c>
    </row>
    <row r="17" spans="1:4" x14ac:dyDescent="0.45">
      <c r="A17" s="61" t="s">
        <v>76</v>
      </c>
      <c r="B17" s="23">
        <v>2.3426061493411421E-2</v>
      </c>
      <c r="C17" s="3">
        <v>3.6656891495601175E-2</v>
      </c>
      <c r="D17" s="6">
        <v>1.023391812865497E-2</v>
      </c>
    </row>
    <row r="18" spans="1:4" x14ac:dyDescent="0.45">
      <c r="A18" s="61" t="s">
        <v>77</v>
      </c>
      <c r="B18" s="23">
        <v>3.8799414348462666E-2</v>
      </c>
      <c r="C18" s="3">
        <v>3.519061583577713E-2</v>
      </c>
      <c r="D18" s="6">
        <v>4.2397660818713448E-2</v>
      </c>
    </row>
    <row r="19" spans="1:4" x14ac:dyDescent="0.45">
      <c r="A19" s="61" t="s">
        <v>78</v>
      </c>
      <c r="B19" s="23">
        <v>4.6120058565153735E-2</v>
      </c>
      <c r="C19" s="3">
        <v>5.7184750733137828E-2</v>
      </c>
      <c r="D19" s="6">
        <v>3.5087719298245612E-2</v>
      </c>
    </row>
    <row r="20" spans="1:4" x14ac:dyDescent="0.45">
      <c r="A20" s="61" t="s">
        <v>79</v>
      </c>
      <c r="B20" s="23">
        <v>6.8081991215226942E-2</v>
      </c>
      <c r="C20" s="3">
        <v>8.8709677419354843E-2</v>
      </c>
      <c r="D20" s="6">
        <v>4.7514619883040933E-2</v>
      </c>
    </row>
    <row r="21" spans="1:4" x14ac:dyDescent="0.45">
      <c r="A21" s="61" t="s">
        <v>80</v>
      </c>
      <c r="B21" s="23">
        <v>6.5885797950219621E-2</v>
      </c>
      <c r="C21" s="3">
        <v>6.89149560117302E-2</v>
      </c>
      <c r="D21" s="6">
        <v>6.2865497076023388E-2</v>
      </c>
    </row>
    <row r="22" spans="1:4" x14ac:dyDescent="0.45">
      <c r="A22" s="61" t="s">
        <v>81</v>
      </c>
      <c r="B22" s="23">
        <v>5.6734992679355785E-2</v>
      </c>
      <c r="C22" s="3">
        <v>6.1583577712609971E-2</v>
      </c>
      <c r="D22" s="6">
        <v>5.1900584795321635E-2</v>
      </c>
    </row>
    <row r="23" spans="1:4" x14ac:dyDescent="0.45">
      <c r="A23" s="61" t="s">
        <v>82</v>
      </c>
      <c r="B23" s="23">
        <v>5.197657393850659E-2</v>
      </c>
      <c r="C23" s="3">
        <v>3.9589442815249266E-2</v>
      </c>
      <c r="D23" s="6">
        <v>6.4327485380116955E-2</v>
      </c>
    </row>
    <row r="24" spans="1:4" x14ac:dyDescent="0.45">
      <c r="A24" s="61" t="s">
        <v>83</v>
      </c>
      <c r="B24" s="23">
        <v>5.9297218155197659E-2</v>
      </c>
      <c r="C24" s="3">
        <v>4.912023460410557E-2</v>
      </c>
      <c r="D24" s="6">
        <v>6.9444444444444448E-2</v>
      </c>
    </row>
    <row r="25" spans="1:4" x14ac:dyDescent="0.45">
      <c r="A25" s="61" t="s">
        <v>84</v>
      </c>
      <c r="B25" s="23">
        <v>2.5256222547584188E-2</v>
      </c>
      <c r="C25" s="3">
        <v>2.1994134897360705E-2</v>
      </c>
      <c r="D25" s="6">
        <v>2.850877192982456E-2</v>
      </c>
    </row>
    <row r="26" spans="1:4" x14ac:dyDescent="0.45">
      <c r="A26" s="61" t="s">
        <v>85</v>
      </c>
      <c r="B26" s="23">
        <v>3.074670571010249E-2</v>
      </c>
      <c r="C26" s="3">
        <v>3.1524926686217009E-2</v>
      </c>
      <c r="D26" s="6">
        <v>2.9970760233918127E-2</v>
      </c>
    </row>
    <row r="27" spans="1:4" x14ac:dyDescent="0.45">
      <c r="A27" s="61" t="s">
        <v>86</v>
      </c>
      <c r="B27" s="23">
        <v>5.8199121522693999E-2</v>
      </c>
      <c r="C27" s="3">
        <v>5.2785923753665691E-2</v>
      </c>
      <c r="D27" s="6">
        <v>6.3596491228070179E-2</v>
      </c>
    </row>
    <row r="28" spans="1:4" x14ac:dyDescent="0.45">
      <c r="A28" s="61" t="s">
        <v>87</v>
      </c>
      <c r="B28" s="23">
        <v>7.2474377745241583E-2</v>
      </c>
      <c r="C28" s="3">
        <v>8.5043988269794715E-2</v>
      </c>
      <c r="D28" s="6">
        <v>5.9941520467836254E-2</v>
      </c>
    </row>
    <row r="29" spans="1:4" x14ac:dyDescent="0.45">
      <c r="A29" s="61" t="s">
        <v>88</v>
      </c>
      <c r="B29" s="23">
        <v>0.12335285505124451</v>
      </c>
      <c r="C29" s="3">
        <v>0.15029325513196481</v>
      </c>
      <c r="D29" s="6">
        <v>9.6491228070175433E-2</v>
      </c>
    </row>
    <row r="30" spans="1:4" x14ac:dyDescent="0.45">
      <c r="A30" s="61" t="s">
        <v>89</v>
      </c>
      <c r="B30" s="23">
        <v>8.455344070278184E-2</v>
      </c>
      <c r="C30" s="3">
        <v>8.357771260997067E-2</v>
      </c>
      <c r="D30" s="6">
        <v>8.5526315789473686E-2</v>
      </c>
    </row>
    <row r="31" spans="1:4" x14ac:dyDescent="0.45">
      <c r="A31" s="61" t="s">
        <v>90</v>
      </c>
      <c r="B31" s="23">
        <v>9.9194729136163978E-2</v>
      </c>
      <c r="C31" s="3">
        <v>7.6246334310850442E-2</v>
      </c>
      <c r="D31" s="6">
        <v>0.12207602339181287</v>
      </c>
    </row>
    <row r="32" spans="1:4" x14ac:dyDescent="0.45">
      <c r="A32" s="61" t="s">
        <v>91</v>
      </c>
      <c r="B32" s="23">
        <v>5.3806734992679357E-2</v>
      </c>
      <c r="C32" s="3">
        <v>3.1524926686217009E-2</v>
      </c>
      <c r="D32" s="6">
        <v>7.6023391812865493E-2</v>
      </c>
    </row>
    <row r="33" spans="1:4" x14ac:dyDescent="0.45">
      <c r="A33" s="61" t="s">
        <v>92</v>
      </c>
      <c r="B33" s="23">
        <v>3.0014641288433383E-2</v>
      </c>
      <c r="C33" s="3">
        <v>1.6862170087976538E-2</v>
      </c>
      <c r="D33" s="6">
        <v>4.3128654970760232E-2</v>
      </c>
    </row>
    <row r="34" spans="1:4" x14ac:dyDescent="0.45">
      <c r="A34" s="61" t="s">
        <v>93</v>
      </c>
      <c r="B34" s="23">
        <v>3.2942898975109811E-3</v>
      </c>
      <c r="C34" s="3">
        <v>0</v>
      </c>
      <c r="D34" s="6">
        <v>6.5789473684210523E-3</v>
      </c>
    </row>
    <row r="35" spans="1:4" ht="14.65" thickBot="1" x14ac:dyDescent="0.5">
      <c r="A35" s="63" t="s">
        <v>94</v>
      </c>
      <c r="B35" s="24">
        <v>7.320644216691069E-4</v>
      </c>
      <c r="C35" s="8">
        <v>0</v>
      </c>
      <c r="D35" s="9">
        <v>1.4619883040935672E-3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D36"/>
  <sheetViews>
    <sheetView workbookViewId="0">
      <selection activeCell="A10" sqref="A10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18" t="s">
        <v>68</v>
      </c>
      <c r="B5" s="102">
        <v>520</v>
      </c>
      <c r="C5" s="102"/>
      <c r="D5" s="103"/>
    </row>
    <row r="6" spans="1:4" x14ac:dyDescent="0.45">
      <c r="A6" s="4" t="s">
        <v>0</v>
      </c>
      <c r="B6" s="88" t="s">
        <v>16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3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1.5320974413972729E-4</v>
      </c>
      <c r="C12" s="3">
        <v>3.0892801977139327E-4</v>
      </c>
      <c r="D12" s="6">
        <v>0</v>
      </c>
    </row>
    <row r="13" spans="1:4" x14ac:dyDescent="0.45">
      <c r="A13" s="61" t="s">
        <v>72</v>
      </c>
      <c r="B13" s="23">
        <v>6.1283897655890914E-4</v>
      </c>
      <c r="C13" s="3">
        <v>6.1785603954278654E-4</v>
      </c>
      <c r="D13" s="6">
        <v>6.0790273556231007E-4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9.1925846483836371E-4</v>
      </c>
      <c r="C16" s="3">
        <v>9.2678405931417981E-4</v>
      </c>
      <c r="D16" s="6">
        <v>9.11854103343465E-4</v>
      </c>
    </row>
    <row r="17" spans="1:4" x14ac:dyDescent="0.45">
      <c r="A17" s="61" t="s">
        <v>76</v>
      </c>
      <c r="B17" s="23">
        <v>1.6853071855370001E-3</v>
      </c>
      <c r="C17" s="3">
        <v>3.398208217485326E-3</v>
      </c>
      <c r="D17" s="6">
        <v>0</v>
      </c>
    </row>
    <row r="18" spans="1:4" x14ac:dyDescent="0.45">
      <c r="A18" s="61" t="s">
        <v>77</v>
      </c>
      <c r="B18" s="23">
        <v>1.7619120576068639E-2</v>
      </c>
      <c r="C18" s="3">
        <v>2.7185665739882608E-2</v>
      </c>
      <c r="D18" s="6">
        <v>8.2066869300911859E-3</v>
      </c>
    </row>
    <row r="19" spans="1:4" x14ac:dyDescent="0.45">
      <c r="A19" s="61" t="s">
        <v>78</v>
      </c>
      <c r="B19" s="23">
        <v>0.33828711506051784</v>
      </c>
      <c r="C19" s="3">
        <v>0.40438677788075378</v>
      </c>
      <c r="D19" s="6">
        <v>0.27325227963525833</v>
      </c>
    </row>
    <row r="20" spans="1:4" x14ac:dyDescent="0.45">
      <c r="A20" s="61" t="s">
        <v>79</v>
      </c>
      <c r="B20" s="23">
        <v>0.10801286961850774</v>
      </c>
      <c r="C20" s="3">
        <v>0.10225517454433117</v>
      </c>
      <c r="D20" s="6">
        <v>0.11367781155015197</v>
      </c>
    </row>
    <row r="21" spans="1:4" x14ac:dyDescent="0.45">
      <c r="A21" s="61" t="s">
        <v>80</v>
      </c>
      <c r="B21" s="23">
        <v>2.5126398038915275E-2</v>
      </c>
      <c r="C21" s="3">
        <v>3.027494593759654E-2</v>
      </c>
      <c r="D21" s="6">
        <v>2.0060790273556232E-2</v>
      </c>
    </row>
    <row r="22" spans="1:4" x14ac:dyDescent="0.45">
      <c r="A22" s="61" t="s">
        <v>81</v>
      </c>
      <c r="B22" s="23">
        <v>3.3706143710740002E-2</v>
      </c>
      <c r="C22" s="3">
        <v>2.9966017917825147E-2</v>
      </c>
      <c r="D22" s="6">
        <v>3.7386018237082069E-2</v>
      </c>
    </row>
    <row r="23" spans="1:4" x14ac:dyDescent="0.45">
      <c r="A23" s="61" t="s">
        <v>82</v>
      </c>
      <c r="B23" s="23">
        <v>2.8650222154129004E-2</v>
      </c>
      <c r="C23" s="3">
        <v>2.3478529502625887E-2</v>
      </c>
      <c r="D23" s="6">
        <v>3.3738601823708206E-2</v>
      </c>
    </row>
    <row r="24" spans="1:4" x14ac:dyDescent="0.45">
      <c r="A24" s="61" t="s">
        <v>83</v>
      </c>
      <c r="B24" s="23">
        <v>2.8037383177570093E-2</v>
      </c>
      <c r="C24" s="3">
        <v>2.7185665739882608E-2</v>
      </c>
      <c r="D24" s="6">
        <v>2.8875379939209727E-2</v>
      </c>
    </row>
    <row r="25" spans="1:4" x14ac:dyDescent="0.45">
      <c r="A25" s="61" t="s">
        <v>84</v>
      </c>
      <c r="B25" s="23">
        <v>2.9416270874827639E-2</v>
      </c>
      <c r="C25" s="3">
        <v>3.1510658016682111E-2</v>
      </c>
      <c r="D25" s="6">
        <v>2.7355623100303952E-2</v>
      </c>
    </row>
    <row r="26" spans="1:4" x14ac:dyDescent="0.45">
      <c r="A26" s="61" t="s">
        <v>85</v>
      </c>
      <c r="B26" s="23">
        <v>0.17021602573923703</v>
      </c>
      <c r="C26" s="3">
        <v>0.16002471424158171</v>
      </c>
      <c r="D26" s="6">
        <v>0.18024316109422492</v>
      </c>
    </row>
    <row r="27" spans="1:4" x14ac:dyDescent="0.45">
      <c r="A27" s="61" t="s">
        <v>86</v>
      </c>
      <c r="B27" s="23">
        <v>7.2008579745671819E-2</v>
      </c>
      <c r="C27" s="3">
        <v>4.3558850787766452E-2</v>
      </c>
      <c r="D27" s="6">
        <v>0.1</v>
      </c>
    </row>
    <row r="28" spans="1:4" x14ac:dyDescent="0.45">
      <c r="A28" s="61" t="s">
        <v>87</v>
      </c>
      <c r="B28" s="23">
        <v>6.250957560900873E-2</v>
      </c>
      <c r="C28" s="3">
        <v>4.6957059005251774E-2</v>
      </c>
      <c r="D28" s="6">
        <v>7.7811550151975689E-2</v>
      </c>
    </row>
    <row r="29" spans="1:4" x14ac:dyDescent="0.45">
      <c r="A29" s="61" t="s">
        <v>88</v>
      </c>
      <c r="B29" s="23">
        <v>3.799601654665237E-2</v>
      </c>
      <c r="C29" s="3">
        <v>3.0583873957367932E-2</v>
      </c>
      <c r="D29" s="6">
        <v>4.5288753799392095E-2</v>
      </c>
    </row>
    <row r="30" spans="1:4" x14ac:dyDescent="0.45">
      <c r="A30" s="61" t="s">
        <v>89</v>
      </c>
      <c r="B30" s="23">
        <v>2.7118124712731728E-2</v>
      </c>
      <c r="C30" s="3">
        <v>2.6258881680568429E-2</v>
      </c>
      <c r="D30" s="6">
        <v>2.7963525835866261E-2</v>
      </c>
    </row>
    <row r="31" spans="1:4" x14ac:dyDescent="0.45">
      <c r="A31" s="61" t="s">
        <v>90</v>
      </c>
      <c r="B31" s="23">
        <v>7.8136969511260913E-3</v>
      </c>
      <c r="C31" s="3">
        <v>7.1053444547420448E-3</v>
      </c>
      <c r="D31" s="6">
        <v>8.5106382978723406E-3</v>
      </c>
    </row>
    <row r="32" spans="1:4" x14ac:dyDescent="0.45">
      <c r="A32" s="61" t="s">
        <v>91</v>
      </c>
      <c r="B32" s="23">
        <v>7.9669066952658182E-3</v>
      </c>
      <c r="C32" s="3">
        <v>3.0892801977139327E-3</v>
      </c>
      <c r="D32" s="6">
        <v>1.276595744680851E-2</v>
      </c>
    </row>
    <row r="33" spans="1:4" x14ac:dyDescent="0.45">
      <c r="A33" s="61" t="s">
        <v>92</v>
      </c>
      <c r="B33" s="23">
        <v>9.1925846483836371E-4</v>
      </c>
      <c r="C33" s="3">
        <v>6.1785603954278654E-4</v>
      </c>
      <c r="D33" s="6">
        <v>1.2158054711246201E-3</v>
      </c>
    </row>
    <row r="34" spans="1:4" x14ac:dyDescent="0.45">
      <c r="A34" s="61" t="s">
        <v>93</v>
      </c>
      <c r="B34" s="23">
        <v>6.1283897655890914E-4</v>
      </c>
      <c r="C34" s="3">
        <v>0</v>
      </c>
      <c r="D34" s="6">
        <v>1.2158054711246201E-3</v>
      </c>
    </row>
    <row r="35" spans="1:4" ht="14.65" thickBot="1" x14ac:dyDescent="0.5">
      <c r="A35" s="63" t="s">
        <v>94</v>
      </c>
      <c r="B35" s="24">
        <v>6.1283897655890914E-4</v>
      </c>
      <c r="C35" s="8">
        <v>3.0892801977139327E-4</v>
      </c>
      <c r="D35" s="9">
        <v>9.11854103343465E-4</v>
      </c>
    </row>
    <row r="36" spans="1:4" x14ac:dyDescent="0.45">
      <c r="B36" s="11">
        <f>SUM(B12:B35)</f>
        <v>1.0000000000000002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D36"/>
  <sheetViews>
    <sheetView workbookViewId="0">
      <selection activeCell="A10" sqref="A10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ht="15" customHeight="1" x14ac:dyDescent="0.45">
      <c r="A1" s="93" t="s">
        <v>70</v>
      </c>
      <c r="B1" s="94"/>
      <c r="C1" s="94"/>
      <c r="D1" s="95"/>
    </row>
    <row r="2" spans="1:4" ht="15" customHeight="1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18" t="s">
        <v>68</v>
      </c>
      <c r="B5" s="102">
        <v>522</v>
      </c>
      <c r="C5" s="102"/>
      <c r="D5" s="103"/>
    </row>
    <row r="6" spans="1:4" x14ac:dyDescent="0.45">
      <c r="A6" s="4" t="s">
        <v>0</v>
      </c>
      <c r="B6" s="88" t="s">
        <v>17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3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1.0153572788424927E-3</v>
      </c>
      <c r="C12" s="3">
        <v>6.3637520682194217E-4</v>
      </c>
      <c r="D12" s="6">
        <v>1.3922288317934439E-3</v>
      </c>
    </row>
    <row r="13" spans="1:4" x14ac:dyDescent="0.45">
      <c r="A13" s="61" t="s">
        <v>72</v>
      </c>
      <c r="B13" s="23">
        <v>2.5383931971062316E-4</v>
      </c>
      <c r="C13" s="3">
        <v>0</v>
      </c>
      <c r="D13" s="6">
        <v>5.0626502974307052E-4</v>
      </c>
    </row>
    <row r="14" spans="1:4" x14ac:dyDescent="0.45">
      <c r="A14" s="61" t="s">
        <v>73</v>
      </c>
      <c r="B14" s="23">
        <v>5.0767863942124633E-4</v>
      </c>
      <c r="C14" s="3">
        <v>3.8182512409316535E-4</v>
      </c>
      <c r="D14" s="6">
        <v>6.3283128717883815E-4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3.1729914963827898E-4</v>
      </c>
      <c r="C16" s="3">
        <v>5.0910016545755376E-4</v>
      </c>
      <c r="D16" s="6">
        <v>1.2656625743576763E-4</v>
      </c>
    </row>
    <row r="17" spans="1:4" x14ac:dyDescent="0.45">
      <c r="A17" s="61" t="s">
        <v>76</v>
      </c>
      <c r="B17" s="23">
        <v>2.2845538773956088E-3</v>
      </c>
      <c r="C17" s="3">
        <v>3.4364261168384879E-3</v>
      </c>
      <c r="D17" s="6">
        <v>1.1390963169219087E-3</v>
      </c>
    </row>
    <row r="18" spans="1:4" x14ac:dyDescent="0.45">
      <c r="A18" s="61" t="s">
        <v>77</v>
      </c>
      <c r="B18" s="23">
        <v>1.1930448026399289E-2</v>
      </c>
      <c r="C18" s="3">
        <v>1.6927580501463663E-2</v>
      </c>
      <c r="D18" s="6">
        <v>6.9611441589672194E-3</v>
      </c>
    </row>
    <row r="19" spans="1:4" x14ac:dyDescent="0.45">
      <c r="A19" s="61" t="s">
        <v>78</v>
      </c>
      <c r="B19" s="23">
        <v>0.28658459195329355</v>
      </c>
      <c r="C19" s="3">
        <v>0.3335878834160621</v>
      </c>
      <c r="D19" s="6">
        <v>0.23984305784077964</v>
      </c>
    </row>
    <row r="20" spans="1:4" x14ac:dyDescent="0.45">
      <c r="A20" s="61" t="s">
        <v>79</v>
      </c>
      <c r="B20" s="23">
        <v>0.12082751618225664</v>
      </c>
      <c r="C20" s="3">
        <v>0.11467481226931399</v>
      </c>
      <c r="D20" s="6">
        <v>0.12694595620807492</v>
      </c>
    </row>
    <row r="21" spans="1:4" x14ac:dyDescent="0.45">
      <c r="A21" s="61" t="s">
        <v>80</v>
      </c>
      <c r="B21" s="23">
        <v>1.3961162584084275E-2</v>
      </c>
      <c r="C21" s="3">
        <v>1.3745704467353952E-2</v>
      </c>
      <c r="D21" s="6">
        <v>1.4175420832805975E-2</v>
      </c>
    </row>
    <row r="22" spans="1:4" x14ac:dyDescent="0.45">
      <c r="A22" s="61" t="s">
        <v>81</v>
      </c>
      <c r="B22" s="23">
        <v>1.326310445488006E-2</v>
      </c>
      <c r="C22" s="3">
        <v>1.2982054219167621E-2</v>
      </c>
      <c r="D22" s="6">
        <v>1.3542589545627136E-2</v>
      </c>
    </row>
    <row r="23" spans="1:4" x14ac:dyDescent="0.45">
      <c r="A23" s="61" t="s">
        <v>82</v>
      </c>
      <c r="B23" s="23">
        <v>1.3580403604518339E-2</v>
      </c>
      <c r="C23" s="3">
        <v>1.4127529591447117E-2</v>
      </c>
      <c r="D23" s="6">
        <v>1.3036324515884065E-2</v>
      </c>
    </row>
    <row r="24" spans="1:4" x14ac:dyDescent="0.45">
      <c r="A24" s="61" t="s">
        <v>83</v>
      </c>
      <c r="B24" s="23">
        <v>1.4405381393577865E-2</v>
      </c>
      <c r="C24" s="3">
        <v>1.5018454880997836E-2</v>
      </c>
      <c r="D24" s="6">
        <v>1.3795722060498672E-2</v>
      </c>
    </row>
    <row r="25" spans="1:4" x14ac:dyDescent="0.45">
      <c r="A25" s="61" t="s">
        <v>84</v>
      </c>
      <c r="B25" s="23">
        <v>1.611879680162457E-2</v>
      </c>
      <c r="C25" s="3">
        <v>1.4636629756904671E-2</v>
      </c>
      <c r="D25" s="6">
        <v>1.7592709783571699E-2</v>
      </c>
    </row>
    <row r="26" spans="1:4" x14ac:dyDescent="0.45">
      <c r="A26" s="61" t="s">
        <v>85</v>
      </c>
      <c r="B26" s="23">
        <v>6.1682954689681428E-2</v>
      </c>
      <c r="C26" s="3">
        <v>8.2856051928216878E-2</v>
      </c>
      <c r="D26" s="6">
        <v>4.062776863688141E-2</v>
      </c>
    </row>
    <row r="27" spans="1:4" x14ac:dyDescent="0.45">
      <c r="A27" s="61" t="s">
        <v>86</v>
      </c>
      <c r="B27" s="23">
        <v>0.13827896941236198</v>
      </c>
      <c r="C27" s="3">
        <v>0.10092910780196003</v>
      </c>
      <c r="D27" s="6">
        <v>0.17542083280597393</v>
      </c>
    </row>
    <row r="28" spans="1:4" x14ac:dyDescent="0.45">
      <c r="A28" s="61" t="s">
        <v>87</v>
      </c>
      <c r="B28" s="23">
        <v>5.8700342683081608E-2</v>
      </c>
      <c r="C28" s="3">
        <v>5.9691994399898182E-2</v>
      </c>
      <c r="D28" s="6">
        <v>5.7714213390710034E-2</v>
      </c>
    </row>
    <row r="29" spans="1:4" x14ac:dyDescent="0.45">
      <c r="A29" s="61" t="s">
        <v>88</v>
      </c>
      <c r="B29" s="23">
        <v>7.5517197613910389E-2</v>
      </c>
      <c r="C29" s="3">
        <v>7.7255950108183785E-2</v>
      </c>
      <c r="D29" s="6">
        <v>7.3788128085052529E-2</v>
      </c>
    </row>
    <row r="30" spans="1:4" x14ac:dyDescent="0.45">
      <c r="A30" s="61" t="s">
        <v>89</v>
      </c>
      <c r="B30" s="23">
        <v>7.7357532681812419E-2</v>
      </c>
      <c r="C30" s="3">
        <v>8.4765177548682707E-2</v>
      </c>
      <c r="D30" s="6">
        <v>6.9991140361979495E-2</v>
      </c>
    </row>
    <row r="31" spans="1:4" x14ac:dyDescent="0.45">
      <c r="A31" s="61" t="s">
        <v>90</v>
      </c>
      <c r="B31" s="23">
        <v>4.9054448534077928E-2</v>
      </c>
      <c r="C31" s="3">
        <v>3.2455135547919053E-2</v>
      </c>
      <c r="D31" s="6">
        <v>6.5561321351727625E-2</v>
      </c>
    </row>
    <row r="32" spans="1:4" x14ac:dyDescent="0.45">
      <c r="A32" s="61" t="s">
        <v>91</v>
      </c>
      <c r="B32" s="23">
        <v>3.4014468841223507E-2</v>
      </c>
      <c r="C32" s="3">
        <v>1.4382079674175895E-2</v>
      </c>
      <c r="D32" s="6">
        <v>5.3537526895329708E-2</v>
      </c>
    </row>
    <row r="33" spans="1:4" x14ac:dyDescent="0.45">
      <c r="A33" s="61" t="s">
        <v>92</v>
      </c>
      <c r="B33" s="23">
        <v>7.4882599314633836E-3</v>
      </c>
      <c r="C33" s="3">
        <v>5.6001018200330915E-3</v>
      </c>
      <c r="D33" s="6">
        <v>9.3659030502468051E-3</v>
      </c>
    </row>
    <row r="34" spans="1:4" x14ac:dyDescent="0.45">
      <c r="A34" s="61" t="s">
        <v>93</v>
      </c>
      <c r="B34" s="23">
        <v>2.0941743876126411E-3</v>
      </c>
      <c r="C34" s="3">
        <v>1.0182003309151075E-3</v>
      </c>
      <c r="D34" s="6">
        <v>3.1641564358941905E-3</v>
      </c>
    </row>
    <row r="35" spans="1:4" ht="14.65" thickBot="1" x14ac:dyDescent="0.5">
      <c r="A35" s="63" t="s">
        <v>94</v>
      </c>
      <c r="B35" s="24">
        <v>7.6151795913186949E-4</v>
      </c>
      <c r="C35" s="8">
        <v>3.8182512409316535E-4</v>
      </c>
      <c r="D35" s="9">
        <v>1.1390963169219087E-3</v>
      </c>
    </row>
    <row r="36" spans="1:4" x14ac:dyDescent="0.45">
      <c r="B36" s="11">
        <f>SUM(B12:B35)</f>
        <v>0.99999999999999989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D36"/>
  <sheetViews>
    <sheetView topLeftCell="A4" workbookViewId="0">
      <selection activeCell="A10" sqref="A10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18" t="s">
        <v>68</v>
      </c>
      <c r="B5" s="102">
        <v>525</v>
      </c>
      <c r="C5" s="102"/>
      <c r="D5" s="103"/>
    </row>
    <row r="6" spans="1:4" x14ac:dyDescent="0.45">
      <c r="A6" s="4" t="s">
        <v>0</v>
      </c>
      <c r="B6" s="88" t="s">
        <v>18</v>
      </c>
      <c r="C6" s="88"/>
      <c r="D6" s="89"/>
    </row>
    <row r="7" spans="1:4" x14ac:dyDescent="0.45">
      <c r="A7" s="4" t="s">
        <v>54</v>
      </c>
      <c r="B7" s="88" t="s">
        <v>55</v>
      </c>
      <c r="C7" s="88"/>
      <c r="D7" s="89"/>
    </row>
    <row r="8" spans="1:4" x14ac:dyDescent="0.45">
      <c r="A8" s="4" t="s">
        <v>59</v>
      </c>
      <c r="B8" s="88" t="s">
        <v>60</v>
      </c>
      <c r="C8" s="88"/>
      <c r="D8" s="89"/>
    </row>
    <row r="9" spans="1:4" ht="14.65" thickBot="1" x14ac:dyDescent="0.5">
      <c r="A9" s="7" t="s">
        <v>64</v>
      </c>
      <c r="B9" s="91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8.6306098964326807E-4</v>
      </c>
      <c r="C12" s="3">
        <v>1.1587485515643105E-3</v>
      </c>
      <c r="D12" s="6">
        <v>5.7142857142857147E-4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5.7537399309551208E-4</v>
      </c>
      <c r="C15" s="3">
        <v>5.7937427578215526E-4</v>
      </c>
      <c r="D15" s="6">
        <v>5.7142857142857147E-4</v>
      </c>
    </row>
    <row r="16" spans="1:4" x14ac:dyDescent="0.45">
      <c r="A16" s="61" t="s">
        <v>75</v>
      </c>
      <c r="B16" s="23">
        <v>1.4384349827387803E-3</v>
      </c>
      <c r="C16" s="3">
        <v>2.3174971031286211E-3</v>
      </c>
      <c r="D16" s="6">
        <v>5.7142857142857147E-4</v>
      </c>
    </row>
    <row r="17" spans="1:4" x14ac:dyDescent="0.45">
      <c r="A17" s="61" t="s">
        <v>76</v>
      </c>
      <c r="B17" s="23">
        <v>8.6306098964326807E-3</v>
      </c>
      <c r="C17" s="3">
        <v>1.100811123986095E-2</v>
      </c>
      <c r="D17" s="6">
        <v>6.285714285714286E-3</v>
      </c>
    </row>
    <row r="18" spans="1:4" x14ac:dyDescent="0.45">
      <c r="A18" s="61" t="s">
        <v>77</v>
      </c>
      <c r="B18" s="23">
        <v>9.4936708860759497E-3</v>
      </c>
      <c r="C18" s="3">
        <v>1.2746234067207415E-2</v>
      </c>
      <c r="D18" s="6">
        <v>6.285714285714286E-3</v>
      </c>
    </row>
    <row r="19" spans="1:4" x14ac:dyDescent="0.45">
      <c r="A19" s="61" t="s">
        <v>78</v>
      </c>
      <c r="B19" s="23">
        <v>0.21317606444188722</v>
      </c>
      <c r="C19" s="3">
        <v>0.31807647740440326</v>
      </c>
      <c r="D19" s="6">
        <v>0.10971428571428571</v>
      </c>
    </row>
    <row r="20" spans="1:4" x14ac:dyDescent="0.45">
      <c r="A20" s="61" t="s">
        <v>79</v>
      </c>
      <c r="B20" s="23">
        <v>9.6662830840046024E-2</v>
      </c>
      <c r="C20" s="3">
        <v>0.13847045191193511</v>
      </c>
      <c r="D20" s="6">
        <v>5.5428571428571431E-2</v>
      </c>
    </row>
    <row r="21" spans="1:4" x14ac:dyDescent="0.45">
      <c r="A21" s="61" t="s">
        <v>80</v>
      </c>
      <c r="B21" s="23">
        <v>2.7617951668584578E-2</v>
      </c>
      <c r="C21" s="3">
        <v>2.6651216685979143E-2</v>
      </c>
      <c r="D21" s="6">
        <v>2.8571428571428571E-2</v>
      </c>
    </row>
    <row r="22" spans="1:4" x14ac:dyDescent="0.45">
      <c r="A22" s="61" t="s">
        <v>81</v>
      </c>
      <c r="B22" s="23">
        <v>3.4234752589182967E-2</v>
      </c>
      <c r="C22" s="3">
        <v>3.4183082271147164E-2</v>
      </c>
      <c r="D22" s="6">
        <v>3.4285714285714287E-2</v>
      </c>
    </row>
    <row r="23" spans="1:4" x14ac:dyDescent="0.45">
      <c r="A23" s="61" t="s">
        <v>82</v>
      </c>
      <c r="B23" s="23">
        <v>2.5604142692750288E-2</v>
      </c>
      <c r="C23" s="3">
        <v>2.7809965237543453E-2</v>
      </c>
      <c r="D23" s="6">
        <v>2.3428571428571427E-2</v>
      </c>
    </row>
    <row r="24" spans="1:4" x14ac:dyDescent="0.45">
      <c r="A24" s="61" t="s">
        <v>83</v>
      </c>
      <c r="B24" s="23">
        <v>4.4303797468354431E-2</v>
      </c>
      <c r="C24" s="3">
        <v>3.8238702201622246E-2</v>
      </c>
      <c r="D24" s="6">
        <v>5.0285714285714288E-2</v>
      </c>
    </row>
    <row r="25" spans="1:4" x14ac:dyDescent="0.45">
      <c r="A25" s="61" t="s">
        <v>84</v>
      </c>
      <c r="B25" s="23">
        <v>5.0920598388952819E-2</v>
      </c>
      <c r="C25" s="3">
        <v>5.2143684820393978E-2</v>
      </c>
      <c r="D25" s="6">
        <v>4.9714285714285711E-2</v>
      </c>
    </row>
    <row r="26" spans="1:4" x14ac:dyDescent="0.45">
      <c r="A26" s="61" t="s">
        <v>85</v>
      </c>
      <c r="B26" s="23">
        <v>4.2865362485615649E-2</v>
      </c>
      <c r="C26" s="3">
        <v>5.0984936268829661E-2</v>
      </c>
      <c r="D26" s="6">
        <v>3.4857142857142857E-2</v>
      </c>
    </row>
    <row r="27" spans="1:4" x14ac:dyDescent="0.45">
      <c r="A27" s="61" t="s">
        <v>86</v>
      </c>
      <c r="B27" s="23">
        <v>0.19044879171461451</v>
      </c>
      <c r="C27" s="3">
        <v>0.10254924681344148</v>
      </c>
      <c r="D27" s="6">
        <v>0.27714285714285714</v>
      </c>
    </row>
    <row r="28" spans="1:4" x14ac:dyDescent="0.45">
      <c r="A28" s="61" t="s">
        <v>87</v>
      </c>
      <c r="B28" s="23">
        <v>5.4372842347525895E-2</v>
      </c>
      <c r="C28" s="3">
        <v>4.6929316338354579E-2</v>
      </c>
      <c r="D28" s="6">
        <v>6.1714285714285715E-2</v>
      </c>
    </row>
    <row r="29" spans="1:4" x14ac:dyDescent="0.45">
      <c r="A29" s="61" t="s">
        <v>88</v>
      </c>
      <c r="B29" s="23">
        <v>0.119102416570771</v>
      </c>
      <c r="C29" s="3">
        <v>9.0382387022016217E-2</v>
      </c>
      <c r="D29" s="6">
        <v>0.14742857142857144</v>
      </c>
    </row>
    <row r="30" spans="1:4" x14ac:dyDescent="0.45">
      <c r="A30" s="61" t="s">
        <v>89</v>
      </c>
      <c r="B30" s="23">
        <v>5.9551208285385501E-2</v>
      </c>
      <c r="C30" s="3">
        <v>3.8818076477404401E-2</v>
      </c>
      <c r="D30" s="6">
        <v>0.08</v>
      </c>
    </row>
    <row r="31" spans="1:4" x14ac:dyDescent="0.45">
      <c r="A31" s="61" t="s">
        <v>90</v>
      </c>
      <c r="B31" s="23">
        <v>1.5535097813578827E-2</v>
      </c>
      <c r="C31" s="3">
        <v>4.6349942062572421E-3</v>
      </c>
      <c r="D31" s="6">
        <v>2.6285714285714287E-2</v>
      </c>
    </row>
    <row r="32" spans="1:4" x14ac:dyDescent="0.45">
      <c r="A32" s="61" t="s">
        <v>91</v>
      </c>
      <c r="B32" s="23">
        <v>1.4384349827387803E-3</v>
      </c>
      <c r="C32" s="3">
        <v>0</v>
      </c>
      <c r="D32" s="6">
        <v>2.8571428571428571E-3</v>
      </c>
    </row>
    <row r="33" spans="1:4" x14ac:dyDescent="0.45">
      <c r="A33" s="61" t="s">
        <v>92</v>
      </c>
      <c r="B33" s="23">
        <v>8.6306098964326807E-4</v>
      </c>
      <c r="C33" s="3">
        <v>1.1587485515643105E-3</v>
      </c>
      <c r="D33" s="6">
        <v>5.7142857142857147E-4</v>
      </c>
    </row>
    <row r="34" spans="1:4" x14ac:dyDescent="0.45">
      <c r="A34" s="61" t="s">
        <v>93</v>
      </c>
      <c r="B34" s="23">
        <v>5.7537399309551208E-4</v>
      </c>
      <c r="C34" s="3">
        <v>0</v>
      </c>
      <c r="D34" s="6">
        <v>1.1428571428571429E-3</v>
      </c>
    </row>
    <row r="35" spans="1:4" ht="14.65" thickBot="1" x14ac:dyDescent="0.5">
      <c r="A35" s="63" t="s">
        <v>94</v>
      </c>
      <c r="B35" s="24">
        <v>1.7261219792865361E-3</v>
      </c>
      <c r="C35" s="8">
        <v>1.1587485515643105E-3</v>
      </c>
      <c r="D35" s="9">
        <v>2.2857142857142859E-3</v>
      </c>
    </row>
    <row r="36" spans="1:4" x14ac:dyDescent="0.45">
      <c r="B36" s="11">
        <f>SUM(B12:B35)</f>
        <v>1.0000000000000002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D36"/>
  <sheetViews>
    <sheetView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528</v>
      </c>
      <c r="C5" s="102"/>
      <c r="D5" s="103"/>
    </row>
    <row r="6" spans="1:4" x14ac:dyDescent="0.45">
      <c r="A6" s="61" t="s">
        <v>0</v>
      </c>
      <c r="B6" s="87" t="s">
        <v>20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2.3049061573921633E-3</v>
      </c>
      <c r="C18" s="3">
        <v>4.5961917268548917E-3</v>
      </c>
      <c r="D18" s="6">
        <v>0</v>
      </c>
    </row>
    <row r="19" spans="1:4" x14ac:dyDescent="0.45">
      <c r="A19" s="61" t="s">
        <v>78</v>
      </c>
      <c r="B19" s="23">
        <v>0.10108659861705631</v>
      </c>
      <c r="C19" s="3">
        <v>0.17793827971109652</v>
      </c>
      <c r="D19" s="6">
        <v>2.3778071334214002E-2</v>
      </c>
    </row>
    <row r="20" spans="1:4" x14ac:dyDescent="0.45">
      <c r="A20" s="61" t="s">
        <v>79</v>
      </c>
      <c r="B20" s="23">
        <v>0.1182087586433981</v>
      </c>
      <c r="C20" s="3">
        <v>0.14116874589625739</v>
      </c>
      <c r="D20" s="6">
        <v>9.5112285336856006E-2</v>
      </c>
    </row>
    <row r="21" spans="1:4" x14ac:dyDescent="0.45">
      <c r="A21" s="61" t="s">
        <v>80</v>
      </c>
      <c r="B21" s="23">
        <v>6.3878827790582807E-2</v>
      </c>
      <c r="C21" s="3">
        <v>6.9599474720945506E-2</v>
      </c>
      <c r="D21" s="6">
        <v>5.8124174372523117E-2</v>
      </c>
    </row>
    <row r="22" spans="1:4" x14ac:dyDescent="0.45">
      <c r="A22" s="61" t="s">
        <v>81</v>
      </c>
      <c r="B22" s="23">
        <v>6.5854461639776096E-2</v>
      </c>
      <c r="C22" s="3">
        <v>6.106369008535785E-2</v>
      </c>
      <c r="D22" s="6">
        <v>7.0673712021136065E-2</v>
      </c>
    </row>
    <row r="23" spans="1:4" x14ac:dyDescent="0.45">
      <c r="A23" s="61" t="s">
        <v>82</v>
      </c>
      <c r="B23" s="23">
        <v>9.4830424761277579E-2</v>
      </c>
      <c r="C23" s="3">
        <v>7.091267235718976E-2</v>
      </c>
      <c r="D23" s="6">
        <v>0.11889035667107001</v>
      </c>
    </row>
    <row r="24" spans="1:4" x14ac:dyDescent="0.45">
      <c r="A24" s="61" t="s">
        <v>83</v>
      </c>
      <c r="B24" s="23">
        <v>0.10339150477444847</v>
      </c>
      <c r="C24" s="3">
        <v>0.12015758371634931</v>
      </c>
      <c r="D24" s="6">
        <v>8.6525759577278732E-2</v>
      </c>
    </row>
    <row r="25" spans="1:4" x14ac:dyDescent="0.45">
      <c r="A25" s="61" t="s">
        <v>84</v>
      </c>
      <c r="B25" s="23">
        <v>8.7915706289101087E-2</v>
      </c>
      <c r="C25" s="3">
        <v>0.10965200262639527</v>
      </c>
      <c r="D25" s="6">
        <v>6.6050198150594458E-2</v>
      </c>
    </row>
    <row r="26" spans="1:4" x14ac:dyDescent="0.45">
      <c r="A26" s="61" t="s">
        <v>85</v>
      </c>
      <c r="B26" s="23">
        <v>8.9891340138294376E-2</v>
      </c>
      <c r="C26" s="3">
        <v>0.10242941562705186</v>
      </c>
      <c r="D26" s="6">
        <v>7.7278731836195505E-2</v>
      </c>
    </row>
    <row r="27" spans="1:4" x14ac:dyDescent="0.45">
      <c r="A27" s="61" t="s">
        <v>86</v>
      </c>
      <c r="B27" s="23">
        <v>9.7793875535067507E-2</v>
      </c>
      <c r="C27" s="3">
        <v>8.2731451083388044E-2</v>
      </c>
      <c r="D27" s="6">
        <v>0.11294583883751651</v>
      </c>
    </row>
    <row r="28" spans="1:4" x14ac:dyDescent="0.45">
      <c r="A28" s="61" t="s">
        <v>87</v>
      </c>
      <c r="B28" s="23">
        <v>0.11458676325321041</v>
      </c>
      <c r="C28" s="3">
        <v>3.2173342087984239E-2</v>
      </c>
      <c r="D28" s="6">
        <v>0.19749009247027741</v>
      </c>
    </row>
    <row r="29" spans="1:4" x14ac:dyDescent="0.45">
      <c r="A29" s="61" t="s">
        <v>88</v>
      </c>
      <c r="B29" s="23">
        <v>6.025683240039513E-2</v>
      </c>
      <c r="C29" s="3">
        <v>2.757715036112935E-2</v>
      </c>
      <c r="D29" s="6">
        <v>9.3130779392338173E-2</v>
      </c>
    </row>
    <row r="30" spans="1:4" x14ac:dyDescent="0.45">
      <c r="A30" s="61" t="s">
        <v>89</v>
      </c>
      <c r="B30" s="23">
        <v>0</v>
      </c>
      <c r="C30" s="3">
        <v>0</v>
      </c>
      <c r="D30" s="6">
        <v>0</v>
      </c>
    </row>
    <row r="31" spans="1:4" x14ac:dyDescent="0.45">
      <c r="A31" s="61" t="s">
        <v>90</v>
      </c>
      <c r="B31" s="23">
        <v>0</v>
      </c>
      <c r="C31" s="3">
        <v>0</v>
      </c>
      <c r="D31" s="6">
        <v>0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1.0000000000000002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D03E-E7AC-4F0A-9458-7521E1B66479}">
  <sheetPr>
    <tabColor rgb="FFFFFF00"/>
  </sheetPr>
  <dimension ref="A1:D36"/>
  <sheetViews>
    <sheetView workbookViewId="0">
      <selection activeCell="B6" sqref="B6:D6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534</v>
      </c>
      <c r="C5" s="102"/>
      <c r="D5" s="103"/>
    </row>
    <row r="6" spans="1:4" x14ac:dyDescent="0.45">
      <c r="A6" s="61" t="s">
        <v>0</v>
      </c>
      <c r="B6" s="87" t="s">
        <v>167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2.5641025641025641E-3</v>
      </c>
      <c r="C12" s="3">
        <v>0</v>
      </c>
      <c r="D12" s="6">
        <v>5.1679586563307496E-3</v>
      </c>
    </row>
    <row r="13" spans="1:4" x14ac:dyDescent="0.45">
      <c r="A13" s="61" t="s">
        <v>72</v>
      </c>
      <c r="B13" s="23">
        <v>1.2820512820512821E-3</v>
      </c>
      <c r="C13" s="3">
        <v>0</v>
      </c>
      <c r="D13" s="6">
        <v>2.5839793281653748E-3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2.5641025641025641E-3</v>
      </c>
      <c r="C16" s="3">
        <v>5.0890585241730284E-3</v>
      </c>
      <c r="D16" s="6">
        <v>0</v>
      </c>
    </row>
    <row r="17" spans="1:4" x14ac:dyDescent="0.45">
      <c r="A17" s="61" t="s">
        <v>76</v>
      </c>
      <c r="B17" s="23">
        <v>6.41025641025641E-3</v>
      </c>
      <c r="C17" s="3">
        <v>1.0178117048346057E-2</v>
      </c>
      <c r="D17" s="6">
        <v>2.5839793281653748E-3</v>
      </c>
    </row>
    <row r="18" spans="1:4" x14ac:dyDescent="0.45">
      <c r="A18" s="61" t="s">
        <v>77</v>
      </c>
      <c r="B18" s="23">
        <v>2.4358974358974359E-2</v>
      </c>
      <c r="C18" s="3">
        <v>3.0534351145038167E-2</v>
      </c>
      <c r="D18" s="6">
        <v>1.8087855297157621E-2</v>
      </c>
    </row>
    <row r="19" spans="1:4" x14ac:dyDescent="0.45">
      <c r="A19" s="61" t="s">
        <v>78</v>
      </c>
      <c r="B19" s="23">
        <v>0.33846153846153848</v>
      </c>
      <c r="C19" s="3">
        <v>0.37913486005089059</v>
      </c>
      <c r="D19" s="6">
        <v>0.29715762273901808</v>
      </c>
    </row>
    <row r="20" spans="1:4" x14ac:dyDescent="0.45">
      <c r="A20" s="61" t="s">
        <v>79</v>
      </c>
      <c r="B20" s="23">
        <v>3.9743589743589741E-2</v>
      </c>
      <c r="C20" s="3">
        <v>4.0712468193384227E-2</v>
      </c>
      <c r="D20" s="6">
        <v>3.875968992248062E-2</v>
      </c>
    </row>
    <row r="21" spans="1:4" x14ac:dyDescent="0.45">
      <c r="A21" s="61" t="s">
        <v>80</v>
      </c>
      <c r="B21" s="23">
        <v>2.1794871794871794E-2</v>
      </c>
      <c r="C21" s="3">
        <v>2.5445292620865138E-2</v>
      </c>
      <c r="D21" s="6">
        <v>1.8087855297157621E-2</v>
      </c>
    </row>
    <row r="22" spans="1:4" x14ac:dyDescent="0.45">
      <c r="A22" s="61" t="s">
        <v>81</v>
      </c>
      <c r="B22" s="23">
        <v>3.0769230769230771E-2</v>
      </c>
      <c r="C22" s="3">
        <v>3.3078880407124679E-2</v>
      </c>
      <c r="D22" s="6">
        <v>2.8423772609819122E-2</v>
      </c>
    </row>
    <row r="23" spans="1:4" x14ac:dyDescent="0.45">
      <c r="A23" s="61" t="s">
        <v>82</v>
      </c>
      <c r="B23" s="23">
        <v>3.7179487179487179E-2</v>
      </c>
      <c r="C23" s="3">
        <v>3.5623409669211195E-2</v>
      </c>
      <c r="D23" s="6">
        <v>3.875968992248062E-2</v>
      </c>
    </row>
    <row r="24" spans="1:4" x14ac:dyDescent="0.45">
      <c r="A24" s="61" t="s">
        <v>83</v>
      </c>
      <c r="B24" s="23">
        <v>3.4615384615384617E-2</v>
      </c>
      <c r="C24" s="3">
        <v>3.8167938931297711E-2</v>
      </c>
      <c r="D24" s="6">
        <v>3.1007751937984496E-2</v>
      </c>
    </row>
    <row r="25" spans="1:4" x14ac:dyDescent="0.45">
      <c r="A25" s="61" t="s">
        <v>84</v>
      </c>
      <c r="B25" s="23">
        <v>3.2051282051282048E-2</v>
      </c>
      <c r="C25" s="3">
        <v>3.0534351145038167E-2</v>
      </c>
      <c r="D25" s="6">
        <v>3.3591731266149873E-2</v>
      </c>
    </row>
    <row r="26" spans="1:4" x14ac:dyDescent="0.45">
      <c r="A26" s="61" t="s">
        <v>85</v>
      </c>
      <c r="B26" s="23">
        <v>4.3589743589743588E-2</v>
      </c>
      <c r="C26" s="3">
        <v>4.0712468193384227E-2</v>
      </c>
      <c r="D26" s="6">
        <v>4.6511627906976744E-2</v>
      </c>
    </row>
    <row r="27" spans="1:4" x14ac:dyDescent="0.45">
      <c r="A27" s="61" t="s">
        <v>86</v>
      </c>
      <c r="B27" s="23">
        <v>0.17948717948717949</v>
      </c>
      <c r="C27" s="3">
        <v>0.17302798982188294</v>
      </c>
      <c r="D27" s="6">
        <v>0.18604651162790697</v>
      </c>
    </row>
    <row r="28" spans="1:4" x14ac:dyDescent="0.45">
      <c r="A28" s="61" t="s">
        <v>87</v>
      </c>
      <c r="B28" s="23">
        <v>0.10256410256410256</v>
      </c>
      <c r="C28" s="3">
        <v>7.124681933842239E-2</v>
      </c>
      <c r="D28" s="6">
        <v>0.13436692506459949</v>
      </c>
    </row>
    <row r="29" spans="1:4" x14ac:dyDescent="0.45">
      <c r="A29" s="61" t="s">
        <v>88</v>
      </c>
      <c r="B29" s="23">
        <v>7.6923076923076927E-2</v>
      </c>
      <c r="C29" s="3">
        <v>6.3613231552162849E-2</v>
      </c>
      <c r="D29" s="6">
        <v>9.0439276485788117E-2</v>
      </c>
    </row>
    <row r="30" spans="1:4" x14ac:dyDescent="0.45">
      <c r="A30" s="61" t="s">
        <v>89</v>
      </c>
      <c r="B30" s="23">
        <v>1.282051282051282E-2</v>
      </c>
      <c r="C30" s="3">
        <v>7.6335877862595417E-3</v>
      </c>
      <c r="D30" s="6">
        <v>1.8087855297157621E-2</v>
      </c>
    </row>
    <row r="31" spans="1:4" x14ac:dyDescent="0.45">
      <c r="A31" s="61" t="s">
        <v>90</v>
      </c>
      <c r="B31" s="23">
        <v>5.1282051282051282E-3</v>
      </c>
      <c r="C31" s="3">
        <v>2.5445292620865142E-3</v>
      </c>
      <c r="D31" s="6">
        <v>7.7519379844961239E-3</v>
      </c>
    </row>
    <row r="32" spans="1:4" x14ac:dyDescent="0.45">
      <c r="A32" s="61" t="s">
        <v>91</v>
      </c>
      <c r="B32" s="23">
        <v>1.2820512820512821E-3</v>
      </c>
      <c r="C32" s="3">
        <v>2.5445292620865142E-3</v>
      </c>
      <c r="D32" s="6">
        <v>0</v>
      </c>
    </row>
    <row r="33" spans="1:4" x14ac:dyDescent="0.45">
      <c r="A33" s="61" t="s">
        <v>92</v>
      </c>
      <c r="B33" s="23">
        <v>2.5641025641025641E-3</v>
      </c>
      <c r="C33" s="3">
        <v>5.0890585241730284E-3</v>
      </c>
      <c r="D33" s="6">
        <v>0</v>
      </c>
    </row>
    <row r="34" spans="1:4" x14ac:dyDescent="0.45">
      <c r="A34" s="61" t="s">
        <v>93</v>
      </c>
      <c r="B34" s="23">
        <v>1.2820512820512821E-3</v>
      </c>
      <c r="C34" s="3">
        <v>2.5445292620865142E-3</v>
      </c>
      <c r="D34" s="6">
        <v>0</v>
      </c>
    </row>
    <row r="35" spans="1:4" ht="14.65" thickBot="1" x14ac:dyDescent="0.5">
      <c r="A35" s="63" t="s">
        <v>94</v>
      </c>
      <c r="B35" s="24">
        <v>2.5641025641025641E-3</v>
      </c>
      <c r="C35" s="8">
        <v>2.5445292620865142E-3</v>
      </c>
      <c r="D35" s="9">
        <v>2.5839793281653748E-3</v>
      </c>
    </row>
    <row r="36" spans="1:4" x14ac:dyDescent="0.45">
      <c r="B36" s="11">
        <f>SUM(B12:B35)</f>
        <v>0.99999999999999978</v>
      </c>
      <c r="C36" s="11">
        <f>SUM(C12:C35)</f>
        <v>0.99999999999999989</v>
      </c>
      <c r="D36" s="11">
        <f>SUM(D12:D35)</f>
        <v>0.99999999999999989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D36"/>
  <sheetViews>
    <sheetView workbookViewId="0">
      <selection activeCell="A5" sqref="A5:A34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536</v>
      </c>
      <c r="C5" s="102"/>
      <c r="D5" s="103"/>
    </row>
    <row r="6" spans="1:4" x14ac:dyDescent="0.45">
      <c r="A6" s="61" t="s">
        <v>0</v>
      </c>
      <c r="B6" s="87" t="s">
        <v>19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1.3280212483399733E-3</v>
      </c>
      <c r="C15" s="3">
        <v>1.3280212483399733E-3</v>
      </c>
      <c r="D15" s="6">
        <v>1.3280212483399733E-3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2.7224435590969456E-2</v>
      </c>
      <c r="C18" s="3">
        <v>5.3120849933598939E-2</v>
      </c>
      <c r="D18" s="6">
        <v>1.3280212483399733E-3</v>
      </c>
    </row>
    <row r="19" spans="1:4" x14ac:dyDescent="0.45">
      <c r="A19" s="61" t="s">
        <v>78</v>
      </c>
      <c r="B19" s="23">
        <v>0.35391766268260294</v>
      </c>
      <c r="C19" s="3">
        <v>0.41832669322709165</v>
      </c>
      <c r="D19" s="6">
        <v>0.28950863213811423</v>
      </c>
    </row>
    <row r="20" spans="1:4" x14ac:dyDescent="0.45">
      <c r="A20" s="61" t="s">
        <v>79</v>
      </c>
      <c r="B20" s="23">
        <v>0.11221779548472775</v>
      </c>
      <c r="C20" s="3">
        <v>9.1633466135458169E-2</v>
      </c>
      <c r="D20" s="6">
        <v>0.13280212483399734</v>
      </c>
    </row>
    <row r="21" spans="1:4" x14ac:dyDescent="0.45">
      <c r="A21" s="61" t="s">
        <v>80</v>
      </c>
      <c r="B21" s="23">
        <v>1.2616201859229747E-2</v>
      </c>
      <c r="C21" s="3">
        <v>1.4608233731739707E-2</v>
      </c>
      <c r="D21" s="6">
        <v>1.0624169986719787E-2</v>
      </c>
    </row>
    <row r="22" spans="1:4" x14ac:dyDescent="0.45">
      <c r="A22" s="61" t="s">
        <v>81</v>
      </c>
      <c r="B22" s="23">
        <v>1.4608233731739707E-2</v>
      </c>
      <c r="C22" s="3">
        <v>1.5936254980079681E-2</v>
      </c>
      <c r="D22" s="6">
        <v>1.3280212483399735E-2</v>
      </c>
    </row>
    <row r="23" spans="1:4" x14ac:dyDescent="0.45">
      <c r="A23" s="61" t="s">
        <v>82</v>
      </c>
      <c r="B23" s="23">
        <v>2.1248339973439574E-2</v>
      </c>
      <c r="C23" s="3">
        <v>1.9920318725099601E-2</v>
      </c>
      <c r="D23" s="6">
        <v>2.2576361221779549E-2</v>
      </c>
    </row>
    <row r="24" spans="1:4" x14ac:dyDescent="0.45">
      <c r="A24" s="61" t="s">
        <v>83</v>
      </c>
      <c r="B24" s="23">
        <v>2.9880478087649404E-2</v>
      </c>
      <c r="C24" s="3">
        <v>2.7888446215139442E-2</v>
      </c>
      <c r="D24" s="6">
        <v>3.1872509960159362E-2</v>
      </c>
    </row>
    <row r="25" spans="1:4" x14ac:dyDescent="0.45">
      <c r="A25" s="61" t="s">
        <v>84</v>
      </c>
      <c r="B25" s="23">
        <v>1.2616201859229747E-2</v>
      </c>
      <c r="C25" s="3">
        <v>1.1952191235059761E-2</v>
      </c>
      <c r="D25" s="6">
        <v>1.3280212483399735E-2</v>
      </c>
    </row>
    <row r="26" spans="1:4" x14ac:dyDescent="0.45">
      <c r="A26" s="61" t="s">
        <v>85</v>
      </c>
      <c r="B26" s="23">
        <v>5.644090305444887E-2</v>
      </c>
      <c r="C26" s="3">
        <v>8.4993359893758294E-2</v>
      </c>
      <c r="D26" s="6">
        <v>2.7888446215139442E-2</v>
      </c>
    </row>
    <row r="27" spans="1:4" x14ac:dyDescent="0.45">
      <c r="A27" s="61" t="s">
        <v>86</v>
      </c>
      <c r="B27" s="23">
        <v>0.1752988047808765</v>
      </c>
      <c r="C27" s="3">
        <v>0.11155378486055777</v>
      </c>
      <c r="D27" s="6">
        <v>0.23904382470119523</v>
      </c>
    </row>
    <row r="28" spans="1:4" x14ac:dyDescent="0.45">
      <c r="A28" s="61" t="s">
        <v>87</v>
      </c>
      <c r="B28" s="23">
        <v>0.13147410358565736</v>
      </c>
      <c r="C28" s="3">
        <v>0.10358565737051793</v>
      </c>
      <c r="D28" s="6">
        <v>0.15936254980079681</v>
      </c>
    </row>
    <row r="29" spans="1:4" x14ac:dyDescent="0.45">
      <c r="A29" s="61" t="s">
        <v>88</v>
      </c>
      <c r="B29" s="23">
        <v>2.7888446215139442E-2</v>
      </c>
      <c r="C29" s="3">
        <v>2.3904382470119521E-2</v>
      </c>
      <c r="D29" s="6">
        <v>3.1872509960159362E-2</v>
      </c>
    </row>
    <row r="30" spans="1:4" x14ac:dyDescent="0.45">
      <c r="A30" s="61" t="s">
        <v>89</v>
      </c>
      <c r="B30" s="23">
        <v>1.7928286852589643E-2</v>
      </c>
      <c r="C30" s="3">
        <v>1.8592297476759629E-2</v>
      </c>
      <c r="D30" s="6">
        <v>1.7264276228419653E-2</v>
      </c>
    </row>
    <row r="31" spans="1:4" x14ac:dyDescent="0.45">
      <c r="A31" s="61" t="s">
        <v>90</v>
      </c>
      <c r="B31" s="23">
        <v>3.3200531208499337E-3</v>
      </c>
      <c r="C31" s="3">
        <v>2.6560424966799467E-3</v>
      </c>
      <c r="D31" s="6">
        <v>3.9840637450199202E-3</v>
      </c>
    </row>
    <row r="32" spans="1:4" x14ac:dyDescent="0.45">
      <c r="A32" s="61" t="s">
        <v>91</v>
      </c>
      <c r="B32" s="23">
        <v>1.9920318725099601E-3</v>
      </c>
      <c r="C32" s="3">
        <v>0</v>
      </c>
      <c r="D32" s="6">
        <v>3.9840637450199202E-3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ht="14.65" thickBot="1" x14ac:dyDescent="0.5">
      <c r="A34" s="63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8" t="s">
        <v>94</v>
      </c>
      <c r="B35" s="8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1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D36"/>
  <sheetViews>
    <sheetView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540</v>
      </c>
      <c r="C5" s="102"/>
      <c r="D5" s="103"/>
    </row>
    <row r="6" spans="1:4" x14ac:dyDescent="0.45">
      <c r="A6" s="61" t="s">
        <v>0</v>
      </c>
      <c r="B6" s="87" t="s">
        <v>21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7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5.5694017070216232E-5</v>
      </c>
      <c r="C17" s="3">
        <v>1.1040269382572935E-4</v>
      </c>
      <c r="D17" s="6">
        <v>0</v>
      </c>
    </row>
    <row r="18" spans="1:4" x14ac:dyDescent="0.45">
      <c r="A18" s="61" t="s">
        <v>77</v>
      </c>
      <c r="B18" s="23">
        <v>1.3505799139527435E-3</v>
      </c>
      <c r="C18" s="3">
        <v>2.4288592641660456E-3</v>
      </c>
      <c r="D18" s="6">
        <v>2.5288002247822423E-4</v>
      </c>
    </row>
    <row r="19" spans="1:4" x14ac:dyDescent="0.45">
      <c r="A19" s="61" t="s">
        <v>78</v>
      </c>
      <c r="B19" s="23">
        <v>8.1438576460923687E-2</v>
      </c>
      <c r="C19" s="3">
        <v>0.1317932157544644</v>
      </c>
      <c r="D19" s="6">
        <v>3.0177016015734758E-2</v>
      </c>
    </row>
    <row r="20" spans="1:4" x14ac:dyDescent="0.45">
      <c r="A20" s="61" t="s">
        <v>79</v>
      </c>
      <c r="B20" s="23">
        <v>8.2817003383411539E-2</v>
      </c>
      <c r="C20" s="3">
        <v>0.12155336590212801</v>
      </c>
      <c r="D20" s="6">
        <v>4.3382972745153132E-2</v>
      </c>
    </row>
    <row r="21" spans="1:4" x14ac:dyDescent="0.45">
      <c r="A21" s="61" t="s">
        <v>80</v>
      </c>
      <c r="B21" s="23">
        <v>7.2694615780899738E-2</v>
      </c>
      <c r="C21" s="3">
        <v>8.7218128122326183E-2</v>
      </c>
      <c r="D21" s="6">
        <v>5.7909525147513345E-2</v>
      </c>
    </row>
    <row r="22" spans="1:4" x14ac:dyDescent="0.45">
      <c r="A22" s="61" t="s">
        <v>81</v>
      </c>
      <c r="B22" s="23">
        <v>8.8734492697122011E-2</v>
      </c>
      <c r="C22" s="3">
        <v>8.5976097816786723E-2</v>
      </c>
      <c r="D22" s="6">
        <v>9.154256813711717E-2</v>
      </c>
    </row>
    <row r="23" spans="1:4" x14ac:dyDescent="0.45">
      <c r="A23" s="61" t="s">
        <v>82</v>
      </c>
      <c r="B23" s="23">
        <v>9.4289970899876077E-2</v>
      </c>
      <c r="C23" s="3">
        <v>8.0207557064392365E-2</v>
      </c>
      <c r="D23" s="6">
        <v>0.10862601854453498</v>
      </c>
    </row>
    <row r="24" spans="1:4" x14ac:dyDescent="0.45">
      <c r="A24" s="61" t="s">
        <v>83</v>
      </c>
      <c r="B24" s="23">
        <v>8.5880174322273434E-2</v>
      </c>
      <c r="C24" s="3">
        <v>8.4596064143965116E-2</v>
      </c>
      <c r="D24" s="6">
        <v>8.7187412194436639E-2</v>
      </c>
    </row>
    <row r="25" spans="1:4" x14ac:dyDescent="0.45">
      <c r="A25" s="61" t="s">
        <v>84</v>
      </c>
      <c r="B25" s="23">
        <v>9.0057225602539648E-2</v>
      </c>
      <c r="C25" s="3">
        <v>8.6583312632828244E-2</v>
      </c>
      <c r="D25" s="6">
        <v>9.3593706097218315E-2</v>
      </c>
    </row>
    <row r="26" spans="1:4" x14ac:dyDescent="0.45">
      <c r="A26" s="61" t="s">
        <v>85</v>
      </c>
      <c r="B26" s="23">
        <v>8.0784171760348647E-2</v>
      </c>
      <c r="C26" s="3">
        <v>7.0271314620076727E-2</v>
      </c>
      <c r="D26" s="6">
        <v>9.1486372576566458E-2</v>
      </c>
    </row>
    <row r="27" spans="1:4" x14ac:dyDescent="0.45">
      <c r="A27" s="61" t="s">
        <v>86</v>
      </c>
      <c r="B27" s="23">
        <v>6.2335528605839519E-2</v>
      </c>
      <c r="C27" s="3">
        <v>4.7611161712345779E-2</v>
      </c>
      <c r="D27" s="6">
        <v>7.7325091317785893E-2</v>
      </c>
    </row>
    <row r="28" spans="1:4" x14ac:dyDescent="0.45">
      <c r="A28" s="61" t="s">
        <v>87</v>
      </c>
      <c r="B28" s="23">
        <v>7.3502179028417866E-2</v>
      </c>
      <c r="C28" s="3">
        <v>5.9175843890590933E-2</v>
      </c>
      <c r="D28" s="6">
        <v>8.80865411632481E-2</v>
      </c>
    </row>
    <row r="29" spans="1:4" x14ac:dyDescent="0.45">
      <c r="A29" s="61" t="s">
        <v>88</v>
      </c>
      <c r="B29" s="23">
        <v>8.7230754236226171E-2</v>
      </c>
      <c r="C29" s="3">
        <v>8.3409235185338521E-2</v>
      </c>
      <c r="D29" s="6">
        <v>9.1121101432986795E-2</v>
      </c>
    </row>
    <row r="30" spans="1:4" x14ac:dyDescent="0.45">
      <c r="A30" s="61" t="s">
        <v>89</v>
      </c>
      <c r="B30" s="23">
        <v>3.6396040155386306E-2</v>
      </c>
      <c r="C30" s="3">
        <v>3.0388341475532002E-2</v>
      </c>
      <c r="D30" s="6">
        <v>4.2511941556617028E-2</v>
      </c>
    </row>
    <row r="31" spans="1:4" x14ac:dyDescent="0.45">
      <c r="A31" s="61" t="s">
        <v>90</v>
      </c>
      <c r="B31" s="23">
        <v>2.8849500842372009E-2</v>
      </c>
      <c r="C31" s="3">
        <v>1.8685655930004694E-2</v>
      </c>
      <c r="D31" s="6">
        <v>3.9196403484124752E-2</v>
      </c>
    </row>
    <row r="32" spans="1:4" x14ac:dyDescent="0.45">
      <c r="A32" s="61" t="s">
        <v>91</v>
      </c>
      <c r="B32" s="23">
        <v>2.1915595717130087E-2</v>
      </c>
      <c r="C32" s="3">
        <v>6.9001683641080839E-3</v>
      </c>
      <c r="D32" s="6">
        <v>3.7201461084574318E-2</v>
      </c>
    </row>
    <row r="33" spans="1:4" x14ac:dyDescent="0.45">
      <c r="A33" s="61" t="s">
        <v>92</v>
      </c>
      <c r="B33" s="23">
        <v>9.81607050862561E-3</v>
      </c>
      <c r="C33" s="3">
        <v>2.8428693660125307E-3</v>
      </c>
      <c r="D33" s="6">
        <v>1.6914863725765665E-2</v>
      </c>
    </row>
    <row r="34" spans="1:4" x14ac:dyDescent="0.45">
      <c r="A34" s="61" t="s">
        <v>93</v>
      </c>
      <c r="B34" s="23">
        <v>1.7404380334442573E-3</v>
      </c>
      <c r="C34" s="3">
        <v>2.4840606110789105E-4</v>
      </c>
      <c r="D34" s="6">
        <v>3.2593425119415566E-3</v>
      </c>
    </row>
    <row r="35" spans="1:4" ht="14.65" thickBot="1" x14ac:dyDescent="0.5">
      <c r="A35" s="63" t="s">
        <v>94</v>
      </c>
      <c r="B35" s="24">
        <v>1.1138803414043246E-4</v>
      </c>
      <c r="C35" s="8">
        <v>0</v>
      </c>
      <c r="D35" s="9">
        <v>2.2478224220286598E-4</v>
      </c>
    </row>
    <row r="36" spans="1:4" x14ac:dyDescent="0.45">
      <c r="B36" s="11">
        <f>SUM(B12:B35)</f>
        <v>1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4A39-696B-45A0-B35B-B54C1E9EEB3A}">
  <sheetPr>
    <tabColor rgb="FFFFFF00"/>
  </sheetPr>
  <dimension ref="A1:D36"/>
  <sheetViews>
    <sheetView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550</v>
      </c>
      <c r="C5" s="102"/>
      <c r="D5" s="103"/>
    </row>
    <row r="6" spans="1:4" x14ac:dyDescent="0.45">
      <c r="A6" s="61" t="s">
        <v>0</v>
      </c>
      <c r="B6" s="87" t="s">
        <v>118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1.0970927043335162E-3</v>
      </c>
      <c r="C12" s="3">
        <v>1.0857763300760044E-3</v>
      </c>
      <c r="D12" s="6">
        <v>1.1086474501108647E-3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1.0970927043335162E-3</v>
      </c>
      <c r="C15" s="3">
        <v>1.0857763300760044E-3</v>
      </c>
      <c r="D15" s="6">
        <v>1.1086474501108647E-3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1.6456390565002743E-3</v>
      </c>
      <c r="C18" s="3">
        <v>2.1715526601520088E-3</v>
      </c>
      <c r="D18" s="6">
        <v>1.1086474501108647E-3</v>
      </c>
    </row>
    <row r="19" spans="1:4" x14ac:dyDescent="0.45">
      <c r="A19" s="61" t="s">
        <v>78</v>
      </c>
      <c r="B19" s="23">
        <v>6.9116840373011523E-2</v>
      </c>
      <c r="C19" s="3">
        <v>0.12812160694896851</v>
      </c>
      <c r="D19" s="6">
        <v>8.869179600886918E-3</v>
      </c>
    </row>
    <row r="20" spans="1:4" x14ac:dyDescent="0.45">
      <c r="A20" s="61" t="s">
        <v>79</v>
      </c>
      <c r="B20" s="23">
        <v>4.8272078990674712E-2</v>
      </c>
      <c r="C20" s="3">
        <v>7.2747014115092296E-2</v>
      </c>
      <c r="D20" s="6">
        <v>2.3281596452328159E-2</v>
      </c>
    </row>
    <row r="21" spans="1:4" x14ac:dyDescent="0.45">
      <c r="A21" s="61" t="s">
        <v>80</v>
      </c>
      <c r="B21" s="23">
        <v>9.1058694459681844E-2</v>
      </c>
      <c r="C21" s="3">
        <v>0.11834961997828447</v>
      </c>
      <c r="D21" s="6">
        <v>6.3192904656319285E-2</v>
      </c>
    </row>
    <row r="22" spans="1:4" x14ac:dyDescent="0.45">
      <c r="A22" s="61" t="s">
        <v>81</v>
      </c>
      <c r="B22" s="23">
        <v>0.13713658804168952</v>
      </c>
      <c r="C22" s="3">
        <v>0.16395222584147665</v>
      </c>
      <c r="D22" s="6">
        <v>0.10975609756097561</v>
      </c>
    </row>
    <row r="23" spans="1:4" x14ac:dyDescent="0.45">
      <c r="A23" s="61" t="s">
        <v>82</v>
      </c>
      <c r="B23" s="23">
        <v>7.5150850246845854E-2</v>
      </c>
      <c r="C23" s="3">
        <v>7.2747014115092296E-2</v>
      </c>
      <c r="D23" s="6">
        <v>7.7605321507760533E-2</v>
      </c>
    </row>
    <row r="24" spans="1:4" x14ac:dyDescent="0.45">
      <c r="A24" s="61" t="s">
        <v>83</v>
      </c>
      <c r="B24" s="23">
        <v>0.14042786615469008</v>
      </c>
      <c r="C24" s="3">
        <v>0.10966340933767643</v>
      </c>
      <c r="D24" s="6">
        <v>0.17184035476718404</v>
      </c>
    </row>
    <row r="25" spans="1:4" x14ac:dyDescent="0.45">
      <c r="A25" s="61" t="s">
        <v>84</v>
      </c>
      <c r="B25" s="23">
        <v>9.1607240811848595E-2</v>
      </c>
      <c r="C25" s="3">
        <v>8.2519001085776325E-2</v>
      </c>
      <c r="D25" s="6">
        <v>0.1008869179600887</v>
      </c>
    </row>
    <row r="26" spans="1:4" x14ac:dyDescent="0.45">
      <c r="A26" s="61" t="s">
        <v>85</v>
      </c>
      <c r="B26" s="23">
        <v>6.1437191442676904E-2</v>
      </c>
      <c r="C26" s="3">
        <v>3.9087947882736153E-2</v>
      </c>
      <c r="D26" s="6">
        <v>8.4257206208425722E-2</v>
      </c>
    </row>
    <row r="27" spans="1:4" x14ac:dyDescent="0.45">
      <c r="A27" s="61" t="s">
        <v>86</v>
      </c>
      <c r="B27" s="23">
        <v>8.11848601206802E-2</v>
      </c>
      <c r="C27" s="3">
        <v>5.3203040173724216E-2</v>
      </c>
      <c r="D27" s="6">
        <v>0.10975609756097561</v>
      </c>
    </row>
    <row r="28" spans="1:4" x14ac:dyDescent="0.45">
      <c r="A28" s="61" t="s">
        <v>87</v>
      </c>
      <c r="B28" s="23">
        <v>3.5655512890839278E-2</v>
      </c>
      <c r="C28" s="3">
        <v>3.1487513572204126E-2</v>
      </c>
      <c r="D28" s="6">
        <v>3.9911308203991129E-2</v>
      </c>
    </row>
    <row r="29" spans="1:4" x14ac:dyDescent="0.45">
      <c r="A29" s="61" t="s">
        <v>88</v>
      </c>
      <c r="B29" s="23">
        <v>4.7723532638507954E-2</v>
      </c>
      <c r="C29" s="3">
        <v>4.8859934853420196E-2</v>
      </c>
      <c r="D29" s="6">
        <v>4.6563192904656318E-2</v>
      </c>
    </row>
    <row r="30" spans="1:4" x14ac:dyDescent="0.45">
      <c r="A30" s="61" t="s">
        <v>89</v>
      </c>
      <c r="B30" s="23">
        <v>5.2111903455842018E-2</v>
      </c>
      <c r="C30" s="3">
        <v>5.3203040173724216E-2</v>
      </c>
      <c r="D30" s="6">
        <v>5.0997782705099776E-2</v>
      </c>
    </row>
    <row r="31" spans="1:4" x14ac:dyDescent="0.45">
      <c r="A31" s="61" t="s">
        <v>90</v>
      </c>
      <c r="B31" s="23">
        <v>1.8650575973669776E-2</v>
      </c>
      <c r="C31" s="3">
        <v>7.6004343105320303E-3</v>
      </c>
      <c r="D31" s="6">
        <v>2.9933481152993349E-2</v>
      </c>
    </row>
    <row r="32" spans="1:4" x14ac:dyDescent="0.45">
      <c r="A32" s="61" t="s">
        <v>91</v>
      </c>
      <c r="B32" s="23">
        <v>2.9072956664838178E-2</v>
      </c>
      <c r="C32" s="3">
        <v>7.6004343105320303E-3</v>
      </c>
      <c r="D32" s="6">
        <v>5.0997782705099776E-2</v>
      </c>
    </row>
    <row r="33" spans="1:4" x14ac:dyDescent="0.45">
      <c r="A33" s="61" t="s">
        <v>92</v>
      </c>
      <c r="B33" s="23">
        <v>1.7004936917169502E-2</v>
      </c>
      <c r="C33" s="3">
        <v>6.5146579804560263E-3</v>
      </c>
      <c r="D33" s="6">
        <v>2.771618625277162E-2</v>
      </c>
    </row>
    <row r="34" spans="1:4" x14ac:dyDescent="0.45">
      <c r="A34" s="61" t="s">
        <v>93</v>
      </c>
      <c r="B34" s="23">
        <v>5.4854635216675812E-4</v>
      </c>
      <c r="C34" s="3">
        <v>0</v>
      </c>
      <c r="D34" s="6">
        <v>1.1086474501108647E-3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1.0000000000000002</v>
      </c>
      <c r="D36" s="11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D36"/>
  <sheetViews>
    <sheetView workbookViewId="0">
      <selection activeCell="D3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565</v>
      </c>
      <c r="C5" s="102"/>
      <c r="D5" s="103"/>
    </row>
    <row r="6" spans="1:4" x14ac:dyDescent="0.45">
      <c r="A6" s="61" t="s">
        <v>0</v>
      </c>
      <c r="B6" s="87" t="s">
        <v>22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19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5.9947545897339827E-3</v>
      </c>
      <c r="C17" s="3">
        <v>9.9925056207844122E-3</v>
      </c>
      <c r="D17" s="6">
        <v>1.998001998001998E-3</v>
      </c>
    </row>
    <row r="18" spans="1:4" x14ac:dyDescent="0.45">
      <c r="A18" s="61" t="s">
        <v>77</v>
      </c>
      <c r="B18" s="23">
        <v>5.2891220182340451E-2</v>
      </c>
      <c r="C18" s="3">
        <v>6.2453160129902575E-2</v>
      </c>
      <c r="D18" s="6">
        <v>4.3331668331668328E-2</v>
      </c>
    </row>
    <row r="19" spans="1:4" x14ac:dyDescent="0.45">
      <c r="A19" s="61" t="s">
        <v>78</v>
      </c>
      <c r="B19" s="23">
        <v>0.17928062944923193</v>
      </c>
      <c r="C19" s="3">
        <v>0.19522857856607545</v>
      </c>
      <c r="D19" s="6">
        <v>0.16333666333666333</v>
      </c>
    </row>
    <row r="20" spans="1:4" x14ac:dyDescent="0.45">
      <c r="A20" s="61" t="s">
        <v>79</v>
      </c>
      <c r="B20" s="23">
        <v>0.13038591232671412</v>
      </c>
      <c r="C20" s="3">
        <v>0.13227579315513366</v>
      </c>
      <c r="D20" s="6">
        <v>0.12849650349650349</v>
      </c>
    </row>
    <row r="21" spans="1:4" x14ac:dyDescent="0.45">
      <c r="A21" s="61" t="s">
        <v>80</v>
      </c>
      <c r="B21" s="23">
        <v>4.9831397527163729E-2</v>
      </c>
      <c r="C21" s="3">
        <v>5.3959530352235822E-2</v>
      </c>
      <c r="D21" s="6">
        <v>4.5704295704295704E-2</v>
      </c>
    </row>
    <row r="22" spans="1:4" x14ac:dyDescent="0.45">
      <c r="A22" s="61" t="s">
        <v>81</v>
      </c>
      <c r="B22" s="23">
        <v>2.7288622455351567E-2</v>
      </c>
      <c r="C22" s="3">
        <v>2.5980514614039472E-2</v>
      </c>
      <c r="D22" s="6">
        <v>2.8596403596403596E-2</v>
      </c>
    </row>
    <row r="23" spans="1:4" x14ac:dyDescent="0.45">
      <c r="A23" s="61" t="s">
        <v>82</v>
      </c>
      <c r="B23" s="23">
        <v>2.5977269888847257E-2</v>
      </c>
      <c r="C23" s="3">
        <v>2.5980514614039472E-2</v>
      </c>
      <c r="D23" s="6">
        <v>2.5974025974025976E-2</v>
      </c>
    </row>
    <row r="24" spans="1:4" x14ac:dyDescent="0.45">
      <c r="A24" s="61" t="s">
        <v>83</v>
      </c>
      <c r="B24" s="23">
        <v>2.3604346197077557E-2</v>
      </c>
      <c r="C24" s="3">
        <v>2.0984261803647264E-2</v>
      </c>
      <c r="D24" s="6">
        <v>2.6223776223776224E-2</v>
      </c>
    </row>
    <row r="25" spans="1:4" x14ac:dyDescent="0.45">
      <c r="A25" s="61" t="s">
        <v>84</v>
      </c>
      <c r="B25" s="23">
        <v>3.128512551517422E-2</v>
      </c>
      <c r="C25" s="3">
        <v>3.0352235823132651E-2</v>
      </c>
      <c r="D25" s="6">
        <v>3.2217782217782216E-2</v>
      </c>
    </row>
    <row r="26" spans="1:4" x14ac:dyDescent="0.45">
      <c r="A26" s="61" t="s">
        <v>85</v>
      </c>
      <c r="B26" s="23">
        <v>4.2837517172474082E-2</v>
      </c>
      <c r="C26" s="3">
        <v>4.0969273045216088E-2</v>
      </c>
      <c r="D26" s="6">
        <v>4.4705294705294704E-2</v>
      </c>
    </row>
    <row r="27" spans="1:4" x14ac:dyDescent="0.45">
      <c r="A27" s="61" t="s">
        <v>86</v>
      </c>
      <c r="B27" s="23">
        <v>7.1749718995878606E-2</v>
      </c>
      <c r="C27" s="3">
        <v>7.4693979515363482E-2</v>
      </c>
      <c r="D27" s="6">
        <v>6.8806193806193808E-2</v>
      </c>
    </row>
    <row r="28" spans="1:4" x14ac:dyDescent="0.45">
      <c r="A28" s="61" t="s">
        <v>87</v>
      </c>
      <c r="B28" s="23">
        <v>0.13787935556388162</v>
      </c>
      <c r="C28" s="3">
        <v>0.13589807644266799</v>
      </c>
      <c r="D28" s="6">
        <v>0.13986013986013987</v>
      </c>
    </row>
    <row r="29" spans="1:4" x14ac:dyDescent="0.45">
      <c r="A29" s="61" t="s">
        <v>88</v>
      </c>
      <c r="B29" s="23">
        <v>0.17703259647808167</v>
      </c>
      <c r="C29" s="3">
        <v>0.16712465650761929</v>
      </c>
      <c r="D29" s="6">
        <v>0.18693806193806195</v>
      </c>
    </row>
    <row r="30" spans="1:4" x14ac:dyDescent="0.45">
      <c r="A30" s="61" t="s">
        <v>89</v>
      </c>
      <c r="B30" s="23">
        <v>4.3337080054951918E-2</v>
      </c>
      <c r="C30" s="3">
        <v>2.3607294529103172E-2</v>
      </c>
      <c r="D30" s="6">
        <v>6.3061938061938064E-2</v>
      </c>
    </row>
    <row r="31" spans="1:4" x14ac:dyDescent="0.45">
      <c r="A31" s="61" t="s">
        <v>90</v>
      </c>
      <c r="B31" s="23">
        <v>1.2489072061945796E-4</v>
      </c>
      <c r="C31" s="3">
        <v>0</v>
      </c>
      <c r="D31" s="6">
        <v>2.4975024975024975E-4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4.9956288247783186E-4</v>
      </c>
      <c r="C35" s="8">
        <v>4.9962528103922061E-4</v>
      </c>
      <c r="D35" s="9">
        <v>4.995004995004995E-4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F8BC-1C0B-4CD7-B02F-BEEBB8BAA376}">
  <sheetPr>
    <tabColor rgb="FFFFFF00"/>
  </sheetPr>
  <dimension ref="A1:D36"/>
  <sheetViews>
    <sheetView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571</v>
      </c>
      <c r="C5" s="102"/>
      <c r="D5" s="103"/>
    </row>
    <row r="6" spans="1:4" x14ac:dyDescent="0.45">
      <c r="A6" s="61" t="s">
        <v>0</v>
      </c>
      <c r="B6" s="87" t="s">
        <v>119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168</v>
      </c>
      <c r="B12" s="23">
        <v>5.084745762711864E-3</v>
      </c>
      <c r="C12" s="3">
        <v>0</v>
      </c>
      <c r="D12" s="6">
        <v>1.0169491525423728E-2</v>
      </c>
    </row>
    <row r="13" spans="1:4" x14ac:dyDescent="0.45">
      <c r="A13" s="61" t="s">
        <v>169</v>
      </c>
      <c r="B13" s="23">
        <v>5.084745762711864E-3</v>
      </c>
      <c r="C13" s="3">
        <v>0</v>
      </c>
      <c r="D13" s="6">
        <v>1.0169491525423728E-2</v>
      </c>
    </row>
    <row r="14" spans="1:4" x14ac:dyDescent="0.45">
      <c r="A14" s="61" t="s">
        <v>170</v>
      </c>
      <c r="B14" s="23">
        <v>5.084745762711864E-3</v>
      </c>
      <c r="C14" s="3">
        <v>3.3898305084745762E-3</v>
      </c>
      <c r="D14" s="6">
        <v>6.7796610169491523E-3</v>
      </c>
    </row>
    <row r="15" spans="1:4" x14ac:dyDescent="0.45">
      <c r="A15" s="61" t="s">
        <v>171</v>
      </c>
      <c r="B15" s="23">
        <v>3.3898305084745762E-3</v>
      </c>
      <c r="C15" s="3">
        <v>3.3898305084745762E-3</v>
      </c>
      <c r="D15" s="6">
        <v>3.3898305084745762E-3</v>
      </c>
    </row>
    <row r="16" spans="1:4" x14ac:dyDescent="0.45">
      <c r="A16" s="61" t="s">
        <v>172</v>
      </c>
      <c r="B16" s="23">
        <v>5.084745762711864E-3</v>
      </c>
      <c r="C16" s="3">
        <v>6.7796610169491523E-3</v>
      </c>
      <c r="D16" s="6">
        <v>3.3898305084745762E-3</v>
      </c>
    </row>
    <row r="17" spans="1:4" x14ac:dyDescent="0.45">
      <c r="A17" s="61" t="s">
        <v>173</v>
      </c>
      <c r="B17" s="23">
        <v>4.7457627118644069E-2</v>
      </c>
      <c r="C17" s="3">
        <v>8.8135593220338981E-2</v>
      </c>
      <c r="D17" s="6">
        <v>6.7796610169491523E-3</v>
      </c>
    </row>
    <row r="18" spans="1:4" x14ac:dyDescent="0.45">
      <c r="A18" s="61" t="s">
        <v>174</v>
      </c>
      <c r="B18" s="23">
        <v>4.576271186440678E-2</v>
      </c>
      <c r="C18" s="3">
        <v>4.0677966101694912E-2</v>
      </c>
      <c r="D18" s="6">
        <v>5.0847457627118647E-2</v>
      </c>
    </row>
    <row r="19" spans="1:4" x14ac:dyDescent="0.45">
      <c r="A19" s="61" t="s">
        <v>175</v>
      </c>
      <c r="B19" s="23">
        <v>1.864406779661017E-2</v>
      </c>
      <c r="C19" s="3">
        <v>2.7118644067796609E-2</v>
      </c>
      <c r="D19" s="6">
        <v>1.0169491525423728E-2</v>
      </c>
    </row>
    <row r="20" spans="1:4" x14ac:dyDescent="0.45">
      <c r="A20" s="61" t="s">
        <v>176</v>
      </c>
      <c r="B20" s="23">
        <v>7.4576271186440682E-2</v>
      </c>
      <c r="C20" s="3">
        <v>0.10847457627118644</v>
      </c>
      <c r="D20" s="6">
        <v>4.0677966101694912E-2</v>
      </c>
    </row>
    <row r="21" spans="1:4" x14ac:dyDescent="0.45">
      <c r="A21" s="61" t="s">
        <v>177</v>
      </c>
      <c r="B21" s="23">
        <v>9.4915254237288138E-2</v>
      </c>
      <c r="C21" s="3">
        <v>0.12881355932203389</v>
      </c>
      <c r="D21" s="6">
        <v>6.1016949152542375E-2</v>
      </c>
    </row>
    <row r="22" spans="1:4" x14ac:dyDescent="0.45">
      <c r="A22" s="61" t="s">
        <v>178</v>
      </c>
      <c r="B22" s="23">
        <v>6.4406779661016947E-2</v>
      </c>
      <c r="C22" s="3">
        <v>8.1355932203389825E-2</v>
      </c>
      <c r="D22" s="6">
        <v>4.7457627118644069E-2</v>
      </c>
    </row>
    <row r="23" spans="1:4" x14ac:dyDescent="0.45">
      <c r="A23" s="61" t="s">
        <v>179</v>
      </c>
      <c r="B23" s="23">
        <v>3.0508474576271188E-2</v>
      </c>
      <c r="C23" s="3">
        <v>3.0508474576271188E-2</v>
      </c>
      <c r="D23" s="6">
        <v>3.0508474576271188E-2</v>
      </c>
    </row>
    <row r="24" spans="1:4" x14ac:dyDescent="0.45">
      <c r="A24" s="61" t="s">
        <v>180</v>
      </c>
      <c r="B24" s="23">
        <v>7.9661016949152536E-2</v>
      </c>
      <c r="C24" s="3">
        <v>8.1355932203389825E-2</v>
      </c>
      <c r="D24" s="6">
        <v>7.796610169491526E-2</v>
      </c>
    </row>
    <row r="25" spans="1:4" x14ac:dyDescent="0.45">
      <c r="A25" s="61" t="s">
        <v>181</v>
      </c>
      <c r="B25" s="23">
        <v>6.4406779661016947E-2</v>
      </c>
      <c r="C25" s="3">
        <v>6.4406779661016947E-2</v>
      </c>
      <c r="D25" s="6">
        <v>6.4406779661016947E-2</v>
      </c>
    </row>
    <row r="26" spans="1:4" x14ac:dyDescent="0.45">
      <c r="A26" s="61" t="s">
        <v>182</v>
      </c>
      <c r="B26" s="23">
        <v>6.1016949152542375E-2</v>
      </c>
      <c r="C26" s="3">
        <v>4.7457627118644069E-2</v>
      </c>
      <c r="D26" s="6">
        <v>7.4576271186440682E-2</v>
      </c>
    </row>
    <row r="27" spans="1:4" x14ac:dyDescent="0.45">
      <c r="A27" s="61" t="s">
        <v>183</v>
      </c>
      <c r="B27" s="23">
        <v>7.1186440677966104E-2</v>
      </c>
      <c r="C27" s="3">
        <v>6.1016949152542375E-2</v>
      </c>
      <c r="D27" s="6">
        <v>8.1355932203389825E-2</v>
      </c>
    </row>
    <row r="28" spans="1:4" x14ac:dyDescent="0.45">
      <c r="A28" s="61" t="s">
        <v>184</v>
      </c>
      <c r="B28" s="23">
        <v>8.3050847457627114E-2</v>
      </c>
      <c r="C28" s="3">
        <v>2.7118644067796609E-2</v>
      </c>
      <c r="D28" s="6">
        <v>0.13898305084745763</v>
      </c>
    </row>
    <row r="29" spans="1:4" x14ac:dyDescent="0.45">
      <c r="A29" s="61" t="s">
        <v>185</v>
      </c>
      <c r="B29" s="23">
        <v>6.1016949152542375E-2</v>
      </c>
      <c r="C29" s="3">
        <v>6.7796610169491525E-2</v>
      </c>
      <c r="D29" s="6">
        <v>5.4237288135593219E-2</v>
      </c>
    </row>
    <row r="30" spans="1:4" x14ac:dyDescent="0.45">
      <c r="A30" s="61" t="s">
        <v>186</v>
      </c>
      <c r="B30" s="23">
        <v>6.7796610169491525E-2</v>
      </c>
      <c r="C30" s="3">
        <v>6.4406779661016947E-2</v>
      </c>
      <c r="D30" s="6">
        <v>7.1186440677966104E-2</v>
      </c>
    </row>
    <row r="31" spans="1:4" x14ac:dyDescent="0.45">
      <c r="A31" s="61" t="s">
        <v>187</v>
      </c>
      <c r="B31" s="23">
        <v>3.2203389830508473E-2</v>
      </c>
      <c r="C31" s="3">
        <v>2.3728813559322035E-2</v>
      </c>
      <c r="D31" s="6">
        <v>4.0677966101694912E-2</v>
      </c>
    </row>
    <row r="32" spans="1:4" x14ac:dyDescent="0.45">
      <c r="A32" s="61" t="s">
        <v>188</v>
      </c>
      <c r="B32" s="23">
        <v>2.0338983050847456E-2</v>
      </c>
      <c r="C32" s="3">
        <v>1.0169491525423728E-2</v>
      </c>
      <c r="D32" s="6">
        <v>3.0508474576271188E-2</v>
      </c>
    </row>
    <row r="33" spans="1:4" x14ac:dyDescent="0.45">
      <c r="A33" s="61" t="s">
        <v>189</v>
      </c>
      <c r="B33" s="23">
        <v>4.0677966101694912E-2</v>
      </c>
      <c r="C33" s="3">
        <v>2.0338983050847456E-2</v>
      </c>
      <c r="D33" s="6">
        <v>6.1016949152542375E-2</v>
      </c>
    </row>
    <row r="34" spans="1:4" x14ac:dyDescent="0.45">
      <c r="A34" s="61" t="s">
        <v>190</v>
      </c>
      <c r="B34" s="23">
        <v>6.7796610169491523E-3</v>
      </c>
      <c r="C34" s="3">
        <v>3.3898305084745762E-3</v>
      </c>
      <c r="D34" s="6">
        <v>1.0169491525423728E-2</v>
      </c>
    </row>
    <row r="35" spans="1:4" ht="14.65" thickBot="1" x14ac:dyDescent="0.5">
      <c r="A35" s="63" t="s">
        <v>191</v>
      </c>
      <c r="B35" s="24">
        <v>1.1864406779661017E-2</v>
      </c>
      <c r="C35" s="8">
        <v>1.0169491525423728E-2</v>
      </c>
      <c r="D35" s="9">
        <v>1.3559322033898305E-2</v>
      </c>
    </row>
    <row r="36" spans="1:4" x14ac:dyDescent="0.45">
      <c r="B36" s="11">
        <f>SUM(B12:B35)</f>
        <v>1.0000000000000002</v>
      </c>
      <c r="C36" s="11">
        <f>SUM(C12:C35)</f>
        <v>0.99999999999999978</v>
      </c>
      <c r="D36" s="11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D36"/>
  <sheetViews>
    <sheetView topLeftCell="A6" workbookViewId="0">
      <selection activeCell="C41" sqref="C41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610</v>
      </c>
      <c r="C5" s="102"/>
      <c r="D5" s="103"/>
    </row>
    <row r="6" spans="1:4" x14ac:dyDescent="0.45">
      <c r="A6" s="61" t="s">
        <v>0</v>
      </c>
      <c r="B6" s="87" t="s">
        <v>23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2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1.0122921185827911E-3</v>
      </c>
      <c r="C12" s="3">
        <v>5.6785917092561046E-4</v>
      </c>
      <c r="D12" s="6">
        <v>1.4736221632773356E-3</v>
      </c>
    </row>
    <row r="13" spans="1:4" x14ac:dyDescent="0.45">
      <c r="A13" s="61" t="s">
        <v>72</v>
      </c>
      <c r="B13" s="23">
        <v>2.4584237165582068E-3</v>
      </c>
      <c r="C13" s="3">
        <v>2.2714366837024418E-3</v>
      </c>
      <c r="D13" s="6">
        <v>2.6525198938992041E-3</v>
      </c>
    </row>
    <row r="14" spans="1:4" x14ac:dyDescent="0.45">
      <c r="A14" s="61" t="s">
        <v>73</v>
      </c>
      <c r="B14" s="23">
        <v>2.8922631959508316E-4</v>
      </c>
      <c r="C14" s="3">
        <v>5.6785917092561046E-4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2.0245842371655822E-3</v>
      </c>
      <c r="C17" s="3">
        <v>2.8392958546280523E-3</v>
      </c>
      <c r="D17" s="6">
        <v>1.1788977306218685E-3</v>
      </c>
    </row>
    <row r="18" spans="1:4" x14ac:dyDescent="0.45">
      <c r="A18" s="61" t="s">
        <v>77</v>
      </c>
      <c r="B18" s="23">
        <v>6.3774403470715835E-2</v>
      </c>
      <c r="C18" s="3">
        <v>0.10193072118114707</v>
      </c>
      <c r="D18" s="6">
        <v>2.4167403477748307E-2</v>
      </c>
    </row>
    <row r="19" spans="1:4" x14ac:dyDescent="0.45">
      <c r="A19" s="61" t="s">
        <v>78</v>
      </c>
      <c r="B19" s="23">
        <v>6.7100506146059294E-2</v>
      </c>
      <c r="C19" s="3">
        <v>8.8586030664395229E-2</v>
      </c>
      <c r="D19" s="6">
        <v>4.4798113763631006E-2</v>
      </c>
    </row>
    <row r="20" spans="1:4" x14ac:dyDescent="0.45">
      <c r="A20" s="61" t="s">
        <v>79</v>
      </c>
      <c r="B20" s="23">
        <v>7.389732465654375E-2</v>
      </c>
      <c r="C20" s="3">
        <v>0.10022714366837024</v>
      </c>
      <c r="D20" s="6">
        <v>4.6566460359563806E-2</v>
      </c>
    </row>
    <row r="21" spans="1:4" x14ac:dyDescent="0.45">
      <c r="A21" s="61" t="s">
        <v>80</v>
      </c>
      <c r="B21" s="23">
        <v>6.2906724511930592E-2</v>
      </c>
      <c r="C21" s="3">
        <v>7.7512776831345831E-2</v>
      </c>
      <c r="D21" s="6">
        <v>4.7745358090185673E-2</v>
      </c>
    </row>
    <row r="22" spans="1:4" x14ac:dyDescent="0.45">
      <c r="A22" s="61" t="s">
        <v>81</v>
      </c>
      <c r="B22" s="23">
        <v>6.8402024584237164E-2</v>
      </c>
      <c r="C22" s="3">
        <v>6.8994889267461668E-2</v>
      </c>
      <c r="D22" s="6">
        <v>6.7786619510757443E-2</v>
      </c>
    </row>
    <row r="23" spans="1:4" x14ac:dyDescent="0.45">
      <c r="A23" s="61" t="s">
        <v>82</v>
      </c>
      <c r="B23" s="23">
        <v>6.9992769342010125E-2</v>
      </c>
      <c r="C23" s="3">
        <v>6.8143100511073251E-2</v>
      </c>
      <c r="D23" s="6">
        <v>7.1912761567933983E-2</v>
      </c>
    </row>
    <row r="24" spans="1:4" x14ac:dyDescent="0.45">
      <c r="A24" s="61" t="s">
        <v>83</v>
      </c>
      <c r="B24" s="23">
        <v>8.2718727404193781E-2</v>
      </c>
      <c r="C24" s="3">
        <v>8.0919931856899482E-2</v>
      </c>
      <c r="D24" s="6">
        <v>8.4585912172119068E-2</v>
      </c>
    </row>
    <row r="25" spans="1:4" x14ac:dyDescent="0.45">
      <c r="A25" s="61" t="s">
        <v>84</v>
      </c>
      <c r="B25" s="23">
        <v>7.3029645697758494E-2</v>
      </c>
      <c r="C25" s="3">
        <v>6.6155593412833613E-2</v>
      </c>
      <c r="D25" s="6">
        <v>8.0165045682287064E-2</v>
      </c>
    </row>
    <row r="26" spans="1:4" x14ac:dyDescent="0.45">
      <c r="A26" s="61" t="s">
        <v>85</v>
      </c>
      <c r="B26" s="23">
        <v>6.7245119305856832E-2</v>
      </c>
      <c r="C26" s="3">
        <v>6.3316297558205559E-2</v>
      </c>
      <c r="D26" s="6">
        <v>7.1323312702623043E-2</v>
      </c>
    </row>
    <row r="27" spans="1:4" x14ac:dyDescent="0.45">
      <c r="A27" s="61" t="s">
        <v>86</v>
      </c>
      <c r="B27" s="23">
        <v>7.9103398409255246E-2</v>
      </c>
      <c r="C27" s="3">
        <v>5.99091425326519E-2</v>
      </c>
      <c r="D27" s="6">
        <v>9.902740937223696E-2</v>
      </c>
    </row>
    <row r="28" spans="1:4" x14ac:dyDescent="0.45">
      <c r="A28" s="61" t="s">
        <v>87</v>
      </c>
      <c r="B28" s="23">
        <v>7.2451193058568328E-2</v>
      </c>
      <c r="C28" s="3">
        <v>5.2526973310618966E-2</v>
      </c>
      <c r="D28" s="6">
        <v>9.3132920719127613E-2</v>
      </c>
    </row>
    <row r="29" spans="1:4" x14ac:dyDescent="0.45">
      <c r="A29" s="61" t="s">
        <v>88</v>
      </c>
      <c r="B29" s="23">
        <v>6.1315979754157632E-2</v>
      </c>
      <c r="C29" s="3">
        <v>4.4860874503123226E-2</v>
      </c>
      <c r="D29" s="6">
        <v>7.8396699086354257E-2</v>
      </c>
    </row>
    <row r="30" spans="1:4" x14ac:dyDescent="0.45">
      <c r="A30" s="61" t="s">
        <v>89</v>
      </c>
      <c r="B30" s="23">
        <v>5.7556037599421545E-2</v>
      </c>
      <c r="C30" s="3">
        <v>5.3378762067007382E-2</v>
      </c>
      <c r="D30" s="6">
        <v>6.1892130857648102E-2</v>
      </c>
    </row>
    <row r="31" spans="1:4" x14ac:dyDescent="0.45">
      <c r="A31" s="61" t="s">
        <v>90</v>
      </c>
      <c r="B31" s="23">
        <v>4.931308749096168E-2</v>
      </c>
      <c r="C31" s="3">
        <v>3.2651902328222598E-2</v>
      </c>
      <c r="D31" s="6">
        <v>6.6607721780135576E-2</v>
      </c>
    </row>
    <row r="32" spans="1:4" x14ac:dyDescent="0.45">
      <c r="A32" s="61" t="s">
        <v>91</v>
      </c>
      <c r="B32" s="23">
        <v>2.6464208242950107E-2</v>
      </c>
      <c r="C32" s="3">
        <v>2.0442930153321975E-2</v>
      </c>
      <c r="D32" s="6">
        <v>3.2714412024756855E-2</v>
      </c>
    </row>
    <row r="33" spans="1:4" x14ac:dyDescent="0.45">
      <c r="A33" s="61" t="s">
        <v>92</v>
      </c>
      <c r="B33" s="23">
        <v>1.0701373825018077E-2</v>
      </c>
      <c r="C33" s="3">
        <v>5.6785917092561046E-3</v>
      </c>
      <c r="D33" s="6">
        <v>1.5915119363395226E-2</v>
      </c>
    </row>
    <row r="34" spans="1:4" x14ac:dyDescent="0.45">
      <c r="A34" s="61" t="s">
        <v>93</v>
      </c>
      <c r="B34" s="23">
        <v>6.5075921908893707E-3</v>
      </c>
      <c r="C34" s="3">
        <v>5.96252129471891E-3</v>
      </c>
      <c r="D34" s="6">
        <v>7.073386383731211E-3</v>
      </c>
    </row>
    <row r="35" spans="1:4" ht="14.65" thickBot="1" x14ac:dyDescent="0.5">
      <c r="A35" s="63" t="s">
        <v>94</v>
      </c>
      <c r="B35" s="24">
        <v>1.7353579175704988E-3</v>
      </c>
      <c r="C35" s="8">
        <v>2.5553662691652468E-3</v>
      </c>
      <c r="D35" s="9">
        <v>8.8417329796640137E-4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D36"/>
  <sheetViews>
    <sheetView topLeftCell="A4" workbookViewId="0">
      <selection activeCell="D29" sqref="D29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620</v>
      </c>
      <c r="C5" s="102"/>
      <c r="D5" s="103"/>
    </row>
    <row r="6" spans="1:4" x14ac:dyDescent="0.45">
      <c r="A6" s="61" t="s">
        <v>0</v>
      </c>
      <c r="B6" s="87" t="s">
        <v>24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4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6.3520871143375682E-3</v>
      </c>
      <c r="C12" s="3">
        <v>5.4249547920433997E-3</v>
      </c>
      <c r="D12" s="6">
        <v>7.2859744990892532E-3</v>
      </c>
    </row>
    <row r="13" spans="1:4" x14ac:dyDescent="0.45">
      <c r="A13" s="61" t="s">
        <v>72</v>
      </c>
      <c r="B13" s="23">
        <v>9.0744101633393826E-4</v>
      </c>
      <c r="C13" s="3">
        <v>0</v>
      </c>
      <c r="D13" s="6">
        <v>1.8214936247723133E-3</v>
      </c>
    </row>
    <row r="14" spans="1:4" x14ac:dyDescent="0.45">
      <c r="A14" s="61" t="s">
        <v>73</v>
      </c>
      <c r="B14" s="23">
        <v>9.0744101633393826E-4</v>
      </c>
      <c r="C14" s="3">
        <v>1.8083182640144665E-3</v>
      </c>
      <c r="D14" s="6">
        <v>0</v>
      </c>
    </row>
    <row r="15" spans="1:4" x14ac:dyDescent="0.45">
      <c r="A15" s="61" t="s">
        <v>74</v>
      </c>
      <c r="B15" s="23">
        <v>2.7223230490018148E-3</v>
      </c>
      <c r="C15" s="3">
        <v>1.8083182640144665E-3</v>
      </c>
      <c r="D15" s="6">
        <v>3.6429872495446266E-3</v>
      </c>
    </row>
    <row r="16" spans="1:4" x14ac:dyDescent="0.45">
      <c r="A16" s="61" t="s">
        <v>75</v>
      </c>
      <c r="B16" s="23">
        <v>6.3520871143375682E-3</v>
      </c>
      <c r="C16" s="3">
        <v>5.4249547920433997E-3</v>
      </c>
      <c r="D16" s="6">
        <v>7.2859744990892532E-3</v>
      </c>
    </row>
    <row r="17" spans="1:4" x14ac:dyDescent="0.45">
      <c r="A17" s="61" t="s">
        <v>76</v>
      </c>
      <c r="B17" s="23">
        <v>1.9056261343012703E-2</v>
      </c>
      <c r="C17" s="3">
        <v>2.7124773960216998E-2</v>
      </c>
      <c r="D17" s="6">
        <v>1.092896174863388E-2</v>
      </c>
    </row>
    <row r="18" spans="1:4" x14ac:dyDescent="0.45">
      <c r="A18" s="61" t="s">
        <v>77</v>
      </c>
      <c r="B18" s="23">
        <v>3.4482758620689655E-2</v>
      </c>
      <c r="C18" s="3">
        <v>3.25497287522604E-2</v>
      </c>
      <c r="D18" s="6">
        <v>3.6429872495446269E-2</v>
      </c>
    </row>
    <row r="19" spans="1:4" x14ac:dyDescent="0.45">
      <c r="A19" s="61" t="s">
        <v>78</v>
      </c>
      <c r="B19" s="23">
        <v>7.5317604355716883E-2</v>
      </c>
      <c r="C19" s="3">
        <v>0.12658227848101267</v>
      </c>
      <c r="D19" s="6">
        <v>2.3679417122040074E-2</v>
      </c>
    </row>
    <row r="20" spans="1:4" x14ac:dyDescent="0.45">
      <c r="A20" s="61" t="s">
        <v>79</v>
      </c>
      <c r="B20" s="23">
        <v>7.441016333938294E-2</v>
      </c>
      <c r="C20" s="3">
        <v>0.10669077757685352</v>
      </c>
      <c r="D20" s="6">
        <v>4.1894353369763208E-2</v>
      </c>
    </row>
    <row r="21" spans="1:4" x14ac:dyDescent="0.45">
      <c r="A21" s="61" t="s">
        <v>80</v>
      </c>
      <c r="B21" s="23">
        <v>4.3557168784029036E-2</v>
      </c>
      <c r="C21" s="3">
        <v>5.6057866184448461E-2</v>
      </c>
      <c r="D21" s="6">
        <v>3.0965391621129327E-2</v>
      </c>
    </row>
    <row r="22" spans="1:4" x14ac:dyDescent="0.45">
      <c r="A22" s="61" t="s">
        <v>81</v>
      </c>
      <c r="B22" s="23">
        <v>7.0780399274047182E-2</v>
      </c>
      <c r="C22" s="3">
        <v>7.956600361663653E-2</v>
      </c>
      <c r="D22" s="6">
        <v>6.1930783242258654E-2</v>
      </c>
    </row>
    <row r="23" spans="1:4" x14ac:dyDescent="0.45">
      <c r="A23" s="61" t="s">
        <v>82</v>
      </c>
      <c r="B23" s="23">
        <v>9.7096188747731391E-2</v>
      </c>
      <c r="C23" s="3">
        <v>8.3182640144665462E-2</v>
      </c>
      <c r="D23" s="6">
        <v>0.1111111111111111</v>
      </c>
    </row>
    <row r="24" spans="1:4" x14ac:dyDescent="0.45">
      <c r="A24" s="61" t="s">
        <v>83</v>
      </c>
      <c r="B24" s="23">
        <v>7.1687840290381125E-2</v>
      </c>
      <c r="C24" s="3">
        <v>7.4141048824593131E-2</v>
      </c>
      <c r="D24" s="6">
        <v>6.9216757741347903E-2</v>
      </c>
    </row>
    <row r="25" spans="1:4" x14ac:dyDescent="0.45">
      <c r="A25" s="61" t="s">
        <v>84</v>
      </c>
      <c r="B25" s="23">
        <v>7.6225045372050812E-2</v>
      </c>
      <c r="C25" s="3">
        <v>8.8607594936708861E-2</v>
      </c>
      <c r="D25" s="6">
        <v>6.3752276867030971E-2</v>
      </c>
    </row>
    <row r="26" spans="1:4" x14ac:dyDescent="0.45">
      <c r="A26" s="61" t="s">
        <v>85</v>
      </c>
      <c r="B26" s="23">
        <v>9.4373865698729589E-2</v>
      </c>
      <c r="C26" s="3">
        <v>7.7757685352622063E-2</v>
      </c>
      <c r="D26" s="6">
        <v>0.1111111111111111</v>
      </c>
    </row>
    <row r="27" spans="1:4" x14ac:dyDescent="0.45">
      <c r="A27" s="61" t="s">
        <v>86</v>
      </c>
      <c r="B27" s="23">
        <v>7.8947368421052627E-2</v>
      </c>
      <c r="C27" s="3">
        <v>5.0632911392405063E-2</v>
      </c>
      <c r="D27" s="6">
        <v>0.10746812386156648</v>
      </c>
    </row>
    <row r="28" spans="1:4" x14ac:dyDescent="0.45">
      <c r="A28" s="61" t="s">
        <v>87</v>
      </c>
      <c r="B28" s="23">
        <v>7.441016333938294E-2</v>
      </c>
      <c r="C28" s="3">
        <v>5.7866184448462928E-2</v>
      </c>
      <c r="D28" s="6">
        <v>9.107468123861566E-2</v>
      </c>
    </row>
    <row r="29" spans="1:4" x14ac:dyDescent="0.45">
      <c r="A29" s="61" t="s">
        <v>88</v>
      </c>
      <c r="B29" s="23">
        <v>6.6243194192377494E-2</v>
      </c>
      <c r="C29" s="3">
        <v>4.3399638336347197E-2</v>
      </c>
      <c r="D29" s="6">
        <v>8.9253187613843349E-2</v>
      </c>
    </row>
    <row r="30" spans="1:4" x14ac:dyDescent="0.45">
      <c r="A30" s="61" t="s">
        <v>89</v>
      </c>
      <c r="B30" s="23">
        <v>3.1760435571687839E-2</v>
      </c>
      <c r="C30" s="3">
        <v>1.9891500904159132E-2</v>
      </c>
      <c r="D30" s="6">
        <v>4.3715846994535519E-2</v>
      </c>
    </row>
    <row r="31" spans="1:4" x14ac:dyDescent="0.45">
      <c r="A31" s="61" t="s">
        <v>90</v>
      </c>
      <c r="B31" s="23">
        <v>1.9056261343012703E-2</v>
      </c>
      <c r="C31" s="3">
        <v>1.4466546112115732E-2</v>
      </c>
      <c r="D31" s="6">
        <v>2.3679417122040074E-2</v>
      </c>
    </row>
    <row r="32" spans="1:4" x14ac:dyDescent="0.45">
      <c r="A32" s="61" t="s">
        <v>91</v>
      </c>
      <c r="B32" s="23">
        <v>1.4519056261343012E-2</v>
      </c>
      <c r="C32" s="3">
        <v>9.0415913200723331E-3</v>
      </c>
      <c r="D32" s="6">
        <v>2.0036429872495445E-2</v>
      </c>
    </row>
    <row r="33" spans="1:4" x14ac:dyDescent="0.45">
      <c r="A33" s="61" t="s">
        <v>92</v>
      </c>
      <c r="B33" s="23">
        <v>1.7241379310344827E-2</v>
      </c>
      <c r="C33" s="3">
        <v>2.8933092224231464E-2</v>
      </c>
      <c r="D33" s="6">
        <v>5.4644808743169399E-3</v>
      </c>
    </row>
    <row r="34" spans="1:4" x14ac:dyDescent="0.45">
      <c r="A34" s="61" t="s">
        <v>93</v>
      </c>
      <c r="B34" s="23">
        <v>1.9963702359346643E-2</v>
      </c>
      <c r="C34" s="3">
        <v>7.2332730560578659E-3</v>
      </c>
      <c r="D34" s="6">
        <v>3.2786885245901641E-2</v>
      </c>
    </row>
    <row r="35" spans="1:4" ht="14.65" thickBot="1" x14ac:dyDescent="0.5">
      <c r="A35" s="63" t="s">
        <v>94</v>
      </c>
      <c r="B35" s="24">
        <v>3.629764065335753E-3</v>
      </c>
      <c r="C35" s="8">
        <v>1.8083182640144665E-3</v>
      </c>
      <c r="D35" s="9">
        <v>5.4644808743169399E-3</v>
      </c>
    </row>
    <row r="36" spans="1:4" x14ac:dyDescent="0.45">
      <c r="B36" s="11">
        <f>SUM(B12:B35)</f>
        <v>1</v>
      </c>
      <c r="C36" s="11">
        <f>SUM(C12:C35)</f>
        <v>1.0000000000000002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D36"/>
  <sheetViews>
    <sheetView workbookViewId="0">
      <selection activeCell="D3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630</v>
      </c>
      <c r="C5" s="102"/>
      <c r="D5" s="103"/>
    </row>
    <row r="6" spans="1:4" x14ac:dyDescent="0.45">
      <c r="A6" s="61" t="s">
        <v>0</v>
      </c>
      <c r="B6" s="87" t="s">
        <v>192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3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4.2158516020236085E-4</v>
      </c>
      <c r="C12" s="3">
        <v>0</v>
      </c>
      <c r="D12" s="6">
        <v>8.4961767204757861E-4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1.2647554806070826E-3</v>
      </c>
      <c r="C17" s="3">
        <v>1.6736401673640166E-3</v>
      </c>
      <c r="D17" s="6">
        <v>8.4961767204757861E-4</v>
      </c>
    </row>
    <row r="18" spans="1:4" x14ac:dyDescent="0.45">
      <c r="A18" s="61" t="s">
        <v>77</v>
      </c>
      <c r="B18" s="23">
        <v>5.902192242833052E-3</v>
      </c>
      <c r="C18" s="3">
        <v>1.1715481171548118E-2</v>
      </c>
      <c r="D18" s="6">
        <v>0</v>
      </c>
    </row>
    <row r="19" spans="1:4" x14ac:dyDescent="0.45">
      <c r="A19" s="61" t="s">
        <v>78</v>
      </c>
      <c r="B19" s="23">
        <v>6.112984822934233E-2</v>
      </c>
      <c r="C19" s="3">
        <v>0.10460251046025104</v>
      </c>
      <c r="D19" s="6">
        <v>1.6992353440951572E-2</v>
      </c>
    </row>
    <row r="20" spans="1:4" x14ac:dyDescent="0.45">
      <c r="A20" s="61" t="s">
        <v>79</v>
      </c>
      <c r="B20" s="23">
        <v>9.7807757166947729E-2</v>
      </c>
      <c r="C20" s="3">
        <v>0.14476987447698744</v>
      </c>
      <c r="D20" s="6">
        <v>5.0127442650807139E-2</v>
      </c>
    </row>
    <row r="21" spans="1:4" x14ac:dyDescent="0.45">
      <c r="A21" s="61" t="s">
        <v>80</v>
      </c>
      <c r="B21" s="23">
        <v>9.9072512647554803E-2</v>
      </c>
      <c r="C21" s="3">
        <v>0.10711297071129706</v>
      </c>
      <c r="D21" s="6">
        <v>9.0909090909090912E-2</v>
      </c>
    </row>
    <row r="22" spans="1:4" x14ac:dyDescent="0.45">
      <c r="A22" s="61" t="s">
        <v>81</v>
      </c>
      <c r="B22" s="23">
        <v>0.10244519392917369</v>
      </c>
      <c r="C22" s="3">
        <v>0.10794979079497909</v>
      </c>
      <c r="D22" s="6">
        <v>9.6856414613423952E-2</v>
      </c>
    </row>
    <row r="23" spans="1:4" x14ac:dyDescent="0.45">
      <c r="A23" s="61" t="s">
        <v>82</v>
      </c>
      <c r="B23" s="23">
        <v>9.8650927487352449E-2</v>
      </c>
      <c r="C23" s="3">
        <v>7.364016736401674E-2</v>
      </c>
      <c r="D23" s="6">
        <v>0.12404418011894647</v>
      </c>
    </row>
    <row r="24" spans="1:4" x14ac:dyDescent="0.45">
      <c r="A24" s="61" t="s">
        <v>83</v>
      </c>
      <c r="B24" s="23">
        <v>8.1787521079258005E-2</v>
      </c>
      <c r="C24" s="3">
        <v>6.7782426778242671E-2</v>
      </c>
      <c r="D24" s="6">
        <v>9.6006796941376385E-2</v>
      </c>
    </row>
    <row r="25" spans="1:4" x14ac:dyDescent="0.45">
      <c r="A25" s="61" t="s">
        <v>84</v>
      </c>
      <c r="B25" s="23">
        <v>7.9258010118043842E-2</v>
      </c>
      <c r="C25" s="3">
        <v>0.10125523012552301</v>
      </c>
      <c r="D25" s="6">
        <v>5.6924384027187767E-2</v>
      </c>
    </row>
    <row r="26" spans="1:4" x14ac:dyDescent="0.45">
      <c r="A26" s="61" t="s">
        <v>85</v>
      </c>
      <c r="B26" s="23">
        <v>8.5581787521079256E-2</v>
      </c>
      <c r="C26" s="3">
        <v>8.5355648535564849E-2</v>
      </c>
      <c r="D26" s="6">
        <v>8.5811384876805438E-2</v>
      </c>
    </row>
    <row r="27" spans="1:4" x14ac:dyDescent="0.45">
      <c r="A27" s="61" t="s">
        <v>86</v>
      </c>
      <c r="B27" s="23">
        <v>9.7386172006745361E-2</v>
      </c>
      <c r="C27" s="3">
        <v>9.7071129707112971E-2</v>
      </c>
      <c r="D27" s="6">
        <v>9.7706032285471534E-2</v>
      </c>
    </row>
    <row r="28" spans="1:4" x14ac:dyDescent="0.45">
      <c r="A28" s="61" t="s">
        <v>87</v>
      </c>
      <c r="B28" s="23">
        <v>9.1483979763912315E-2</v>
      </c>
      <c r="C28" s="3">
        <v>5.9414225941422594E-2</v>
      </c>
      <c r="D28" s="6">
        <v>0.12404418011894647</v>
      </c>
    </row>
    <row r="29" spans="1:4" x14ac:dyDescent="0.45">
      <c r="A29" s="61" t="s">
        <v>88</v>
      </c>
      <c r="B29" s="23">
        <v>6.9561551433389546E-2</v>
      </c>
      <c r="C29" s="3">
        <v>3.0125523012552301E-2</v>
      </c>
      <c r="D29" s="6">
        <v>0.10960067969413764</v>
      </c>
    </row>
    <row r="30" spans="1:4" x14ac:dyDescent="0.45">
      <c r="A30" s="61" t="s">
        <v>89</v>
      </c>
      <c r="B30" s="23">
        <v>1.7284991568296795E-2</v>
      </c>
      <c r="C30" s="3">
        <v>2.5104602510460251E-3</v>
      </c>
      <c r="D30" s="6">
        <v>3.2285471537807989E-2</v>
      </c>
    </row>
    <row r="31" spans="1:4" x14ac:dyDescent="0.45">
      <c r="A31" s="61" t="s">
        <v>90</v>
      </c>
      <c r="B31" s="23">
        <v>5.902192242833052E-3</v>
      </c>
      <c r="C31" s="3">
        <v>4.1841004184100415E-3</v>
      </c>
      <c r="D31" s="6">
        <v>7.6465590484282074E-3</v>
      </c>
    </row>
    <row r="32" spans="1:4" x14ac:dyDescent="0.45">
      <c r="A32" s="61" t="s">
        <v>91</v>
      </c>
      <c r="B32" s="23">
        <v>4.6374367622259698E-3</v>
      </c>
      <c r="C32" s="3">
        <v>8.3682008368200832E-4</v>
      </c>
      <c r="D32" s="6">
        <v>8.4961767204757861E-3</v>
      </c>
    </row>
    <row r="33" spans="1:4" x14ac:dyDescent="0.45">
      <c r="A33" s="61" t="s">
        <v>92</v>
      </c>
      <c r="B33" s="23">
        <v>4.2158516020236085E-4</v>
      </c>
      <c r="C33" s="3">
        <v>0</v>
      </c>
      <c r="D33" s="6">
        <v>8.4961767204757861E-4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D36"/>
  <sheetViews>
    <sheetView workbookViewId="0">
      <selection activeCell="C24" sqref="C24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640</v>
      </c>
      <c r="C5" s="102"/>
      <c r="D5" s="103"/>
    </row>
    <row r="6" spans="1:4" x14ac:dyDescent="0.45">
      <c r="A6" s="61" t="s">
        <v>0</v>
      </c>
      <c r="B6" s="87" t="s">
        <v>25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6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6.7567567567567571E-3</v>
      </c>
      <c r="C18" s="3">
        <v>1.3513513513513514E-2</v>
      </c>
      <c r="D18" s="6">
        <v>0</v>
      </c>
    </row>
    <row r="19" spans="1:4" x14ac:dyDescent="0.45">
      <c r="A19" s="61" t="s">
        <v>78</v>
      </c>
      <c r="B19" s="23">
        <v>7.2072072072072071E-2</v>
      </c>
      <c r="C19" s="3">
        <v>0.10810810810810811</v>
      </c>
      <c r="D19" s="6">
        <v>3.6036036036036036E-2</v>
      </c>
    </row>
    <row r="20" spans="1:4" x14ac:dyDescent="0.45">
      <c r="A20" s="61" t="s">
        <v>79</v>
      </c>
      <c r="B20" s="23">
        <v>0.12162162162162163</v>
      </c>
      <c r="C20" s="3">
        <v>0.13063063063063063</v>
      </c>
      <c r="D20" s="6">
        <v>0.11261261261261261</v>
      </c>
    </row>
    <row r="21" spans="1:4" x14ac:dyDescent="0.45">
      <c r="A21" s="61" t="s">
        <v>80</v>
      </c>
      <c r="B21" s="23">
        <v>0.11261261261261261</v>
      </c>
      <c r="C21" s="3">
        <v>0.12612612612612611</v>
      </c>
      <c r="D21" s="6">
        <v>9.90990990990991E-2</v>
      </c>
    </row>
    <row r="22" spans="1:4" x14ac:dyDescent="0.45">
      <c r="A22" s="61" t="s">
        <v>81</v>
      </c>
      <c r="B22" s="23">
        <v>7.4324324324324328E-2</v>
      </c>
      <c r="C22" s="3">
        <v>8.1081081081081086E-2</v>
      </c>
      <c r="D22" s="6">
        <v>6.7567567567567571E-2</v>
      </c>
    </row>
    <row r="23" spans="1:4" x14ac:dyDescent="0.45">
      <c r="A23" s="61" t="s">
        <v>82</v>
      </c>
      <c r="B23" s="23">
        <v>0.10810810810810811</v>
      </c>
      <c r="C23" s="3">
        <v>9.45945945945946E-2</v>
      </c>
      <c r="D23" s="6">
        <v>0.12162162162162163</v>
      </c>
    </row>
    <row r="24" spans="1:4" x14ac:dyDescent="0.45">
      <c r="A24" s="61" t="s">
        <v>83</v>
      </c>
      <c r="B24" s="23">
        <v>5.6306306306306307E-2</v>
      </c>
      <c r="C24" s="3">
        <v>5.8558558558558557E-2</v>
      </c>
      <c r="D24" s="6">
        <v>5.4054054054054057E-2</v>
      </c>
    </row>
    <row r="25" spans="1:4" x14ac:dyDescent="0.45">
      <c r="A25" s="61" t="s">
        <v>84</v>
      </c>
      <c r="B25" s="23">
        <v>6.7567567567567571E-2</v>
      </c>
      <c r="C25" s="3">
        <v>7.2072072072072071E-2</v>
      </c>
      <c r="D25" s="6">
        <v>6.3063063063063057E-2</v>
      </c>
    </row>
    <row r="26" spans="1:4" x14ac:dyDescent="0.45">
      <c r="A26" s="61" t="s">
        <v>85</v>
      </c>
      <c r="B26" s="23">
        <v>9.90990990990991E-2</v>
      </c>
      <c r="C26" s="3">
        <v>0.1036036036036036</v>
      </c>
      <c r="D26" s="6">
        <v>9.45945945945946E-2</v>
      </c>
    </row>
    <row r="27" spans="1:4" x14ac:dyDescent="0.45">
      <c r="A27" s="61" t="s">
        <v>86</v>
      </c>
      <c r="B27" s="23">
        <v>0.11261261261261261</v>
      </c>
      <c r="C27" s="3">
        <v>0.10810810810810811</v>
      </c>
      <c r="D27" s="6">
        <v>0.11711711711711711</v>
      </c>
    </row>
    <row r="28" spans="1:4" x14ac:dyDescent="0.45">
      <c r="A28" s="61" t="s">
        <v>87</v>
      </c>
      <c r="B28" s="23">
        <v>8.5585585585585586E-2</v>
      </c>
      <c r="C28" s="3">
        <v>7.2072072072072071E-2</v>
      </c>
      <c r="D28" s="6">
        <v>9.90990990990991E-2</v>
      </c>
    </row>
    <row r="29" spans="1:4" x14ac:dyDescent="0.45">
      <c r="A29" s="61" t="s">
        <v>88</v>
      </c>
      <c r="B29" s="23">
        <v>5.18018018018018E-2</v>
      </c>
      <c r="C29" s="3">
        <v>3.1531531531531529E-2</v>
      </c>
      <c r="D29" s="6">
        <v>7.2072072072072071E-2</v>
      </c>
    </row>
    <row r="30" spans="1:4" x14ac:dyDescent="0.45">
      <c r="A30" s="61" t="s">
        <v>89</v>
      </c>
      <c r="B30" s="23">
        <v>3.1531531531531529E-2</v>
      </c>
      <c r="C30" s="3">
        <v>0</v>
      </c>
      <c r="D30" s="6">
        <v>6.3063063063063057E-2</v>
      </c>
    </row>
    <row r="31" spans="1:4" x14ac:dyDescent="0.45">
      <c r="A31" s="61" t="s">
        <v>90</v>
      </c>
      <c r="B31" s="23">
        <v>0</v>
      </c>
      <c r="C31" s="3">
        <v>0</v>
      </c>
      <c r="D31" s="6">
        <v>0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D36"/>
  <sheetViews>
    <sheetView topLeftCell="A4" workbookViewId="0">
      <selection activeCell="D3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650</v>
      </c>
      <c r="C5" s="102"/>
      <c r="D5" s="103"/>
    </row>
    <row r="6" spans="1:4" x14ac:dyDescent="0.45">
      <c r="A6" s="61" t="s">
        <v>0</v>
      </c>
      <c r="B6" s="87" t="s">
        <v>26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4</v>
      </c>
      <c r="C9" s="91"/>
      <c r="D9" s="92"/>
    </row>
    <row r="10" spans="1:4" x14ac:dyDescent="0.45">
      <c r="A10" s="66"/>
      <c r="B10" s="136" t="s">
        <v>134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2.5324370798811946E-2</v>
      </c>
      <c r="C12" s="3">
        <v>1.9147622077583176E-2</v>
      </c>
      <c r="D12" s="6">
        <v>3.1655587211142769E-2</v>
      </c>
    </row>
    <row r="13" spans="1:4" x14ac:dyDescent="0.45">
      <c r="A13" s="61" t="s">
        <v>72</v>
      </c>
      <c r="B13" s="23">
        <v>1.5476004377051746E-2</v>
      </c>
      <c r="C13" s="3">
        <v>1.2353304566182693E-2</v>
      </c>
      <c r="D13" s="6">
        <v>1.8676796454574235E-2</v>
      </c>
    </row>
    <row r="14" spans="1:4" x14ac:dyDescent="0.45">
      <c r="A14" s="61" t="s">
        <v>73</v>
      </c>
      <c r="B14" s="23">
        <v>1.0629982804439582E-2</v>
      </c>
      <c r="C14" s="3">
        <v>8.6473131963278847E-3</v>
      </c>
      <c r="D14" s="6">
        <v>1.2662234884457108E-2</v>
      </c>
    </row>
    <row r="15" spans="1:4" x14ac:dyDescent="0.45">
      <c r="A15" s="61" t="s">
        <v>74</v>
      </c>
      <c r="B15" s="23">
        <v>8.4414569329373159E-3</v>
      </c>
      <c r="C15" s="3">
        <v>8.0296479680187528E-3</v>
      </c>
      <c r="D15" s="6">
        <v>8.8635644191199757E-3</v>
      </c>
    </row>
    <row r="16" spans="1:4" x14ac:dyDescent="0.45">
      <c r="A16" s="61" t="s">
        <v>75</v>
      </c>
      <c r="B16" s="23">
        <v>9.0667500390808203E-3</v>
      </c>
      <c r="C16" s="3">
        <v>8.9561458104824541E-3</v>
      </c>
      <c r="D16" s="6">
        <v>9.1801202912314035E-3</v>
      </c>
    </row>
    <row r="17" spans="1:4" x14ac:dyDescent="0.45">
      <c r="A17" s="61" t="s">
        <v>76</v>
      </c>
      <c r="B17" s="23">
        <v>1.938408629044865E-2</v>
      </c>
      <c r="C17" s="3">
        <v>2.3471278675747116E-2</v>
      </c>
      <c r="D17" s="6">
        <v>1.5194681861348529E-2</v>
      </c>
    </row>
    <row r="18" spans="1:4" x14ac:dyDescent="0.45">
      <c r="A18" s="61" t="s">
        <v>77</v>
      </c>
      <c r="B18" s="23">
        <v>6.0340784742848215E-2</v>
      </c>
      <c r="C18" s="3">
        <v>7.47374926254053E-2</v>
      </c>
      <c r="D18" s="6">
        <v>4.5584045584045593E-2</v>
      </c>
    </row>
    <row r="19" spans="1:4" x14ac:dyDescent="0.45">
      <c r="A19" s="61" t="s">
        <v>78</v>
      </c>
      <c r="B19" s="23">
        <v>4.4864780365796469E-2</v>
      </c>
      <c r="C19" s="3">
        <v>3.9530574611784622E-2</v>
      </c>
      <c r="D19" s="6">
        <v>5.0332383665717011E-2</v>
      </c>
    </row>
    <row r="20" spans="1:4" x14ac:dyDescent="0.45">
      <c r="A20" s="61" t="s">
        <v>79</v>
      </c>
      <c r="B20" s="23">
        <v>3.7986556198217919E-2</v>
      </c>
      <c r="C20" s="3">
        <v>4.9104385650576211E-2</v>
      </c>
      <c r="D20" s="6">
        <v>2.6590693257359931E-2</v>
      </c>
    </row>
    <row r="21" spans="1:4" x14ac:dyDescent="0.45">
      <c r="A21" s="61" t="s">
        <v>80</v>
      </c>
      <c r="B21" s="23">
        <v>4.1894638111614826E-2</v>
      </c>
      <c r="C21" s="3">
        <v>4.1383570296712024E-2</v>
      </c>
      <c r="D21" s="6">
        <v>4.2418486862931315E-2</v>
      </c>
    </row>
    <row r="22" spans="1:4" x14ac:dyDescent="0.45">
      <c r="A22" s="61" t="s">
        <v>81</v>
      </c>
      <c r="B22" s="23">
        <v>4.5333750195404095E-2</v>
      </c>
      <c r="C22" s="3">
        <v>4.8486720422267073E-2</v>
      </c>
      <c r="D22" s="6">
        <v>4.2101930990819887E-2</v>
      </c>
    </row>
    <row r="23" spans="1:4" x14ac:dyDescent="0.45">
      <c r="A23" s="61" t="s">
        <v>82</v>
      </c>
      <c r="B23" s="23">
        <v>5.7839612318274204E-2</v>
      </c>
      <c r="C23" s="3">
        <v>5.9604694531831502E-2</v>
      </c>
      <c r="D23" s="6">
        <v>5.6030389363722712E-2</v>
      </c>
    </row>
    <row r="24" spans="1:4" x14ac:dyDescent="0.45">
      <c r="A24" s="61" t="s">
        <v>83</v>
      </c>
      <c r="B24" s="23">
        <v>6.4561513209316884E-2</v>
      </c>
      <c r="C24" s="3">
        <v>7.5972823082023577E-2</v>
      </c>
      <c r="D24" s="6">
        <v>5.2864830642608433E-2</v>
      </c>
    </row>
    <row r="25" spans="1:4" x14ac:dyDescent="0.45">
      <c r="A25" s="61" t="s">
        <v>84</v>
      </c>
      <c r="B25" s="23">
        <v>5.4869470064092561E-2</v>
      </c>
      <c r="C25" s="3">
        <v>5.0339716107194482E-2</v>
      </c>
      <c r="D25" s="6">
        <v>5.9512503956948418E-2</v>
      </c>
    </row>
    <row r="26" spans="1:4" x14ac:dyDescent="0.45">
      <c r="A26" s="61" t="s">
        <v>85</v>
      </c>
      <c r="B26" s="23">
        <v>5.7526965765202442E-2</v>
      </c>
      <c r="C26" s="3">
        <v>5.8060531461058669E-2</v>
      </c>
      <c r="D26" s="6">
        <v>5.6980056980057002E-2</v>
      </c>
    </row>
    <row r="27" spans="1:4" x14ac:dyDescent="0.45">
      <c r="A27" s="61" t="s">
        <v>86</v>
      </c>
      <c r="B27" s="23">
        <v>5.768328904173832E-2</v>
      </c>
      <c r="C27" s="3">
        <v>5.5589870547822128E-2</v>
      </c>
      <c r="D27" s="6">
        <v>5.9829059829059839E-2</v>
      </c>
    </row>
    <row r="28" spans="1:4" x14ac:dyDescent="0.45">
      <c r="A28" s="61" t="s">
        <v>87</v>
      </c>
      <c r="B28" s="23">
        <v>5.2211974362982652E-2</v>
      </c>
      <c r="C28" s="3">
        <v>4.8795553036421649E-2</v>
      </c>
      <c r="D28" s="6">
        <v>5.5713833491611277E-2</v>
      </c>
    </row>
    <row r="29" spans="1:4" x14ac:dyDescent="0.45">
      <c r="A29" s="61" t="s">
        <v>88</v>
      </c>
      <c r="B29" s="23">
        <v>5.3149914022197917E-2</v>
      </c>
      <c r="C29" s="3">
        <v>5.435454009120385E-2</v>
      </c>
      <c r="D29" s="6">
        <v>5.191516302627415E-2</v>
      </c>
    </row>
    <row r="30" spans="1:4" x14ac:dyDescent="0.45">
      <c r="A30" s="61" t="s">
        <v>89</v>
      </c>
      <c r="B30" s="23">
        <v>8.01938408629045E-2</v>
      </c>
      <c r="C30" s="3">
        <v>8.4620136278351452E-2</v>
      </c>
      <c r="D30" s="6">
        <v>7.5656853434631216E-2</v>
      </c>
    </row>
    <row r="31" spans="1:4" x14ac:dyDescent="0.45">
      <c r="A31" s="61" t="s">
        <v>90</v>
      </c>
      <c r="B31" s="23">
        <v>5.533843989370018E-2</v>
      </c>
      <c r="C31" s="3">
        <v>4.2001235525021163E-2</v>
      </c>
      <c r="D31" s="6">
        <v>6.9009180120291239E-2</v>
      </c>
    </row>
    <row r="32" spans="1:4" x14ac:dyDescent="0.45">
      <c r="A32" s="61" t="s">
        <v>91</v>
      </c>
      <c r="B32" s="23">
        <v>3.7204939815538539E-2</v>
      </c>
      <c r="C32" s="3">
        <v>3.6751081084393518E-2</v>
      </c>
      <c r="D32" s="6">
        <v>3.7670148781259905E-2</v>
      </c>
    </row>
    <row r="33" spans="1:4" x14ac:dyDescent="0.45">
      <c r="A33" s="61" t="s">
        <v>92</v>
      </c>
      <c r="B33" s="23">
        <v>3.8299202751289667E-2</v>
      </c>
      <c r="C33" s="3">
        <v>3.891290938347549E-2</v>
      </c>
      <c r="D33" s="6">
        <v>3.7670148781259898E-2</v>
      </c>
    </row>
    <row r="34" spans="1:4" x14ac:dyDescent="0.45">
      <c r="A34" s="61" t="s">
        <v>93</v>
      </c>
      <c r="B34" s="23">
        <v>3.8142879474753796E-2</v>
      </c>
      <c r="C34" s="3">
        <v>3.3353922328693275E-2</v>
      </c>
      <c r="D34" s="6">
        <v>4.3051598607154171E-2</v>
      </c>
    </row>
    <row r="35" spans="1:4" ht="14.65" thickBot="1" x14ac:dyDescent="0.5">
      <c r="A35" s="63" t="s">
        <v>94</v>
      </c>
      <c r="B35" s="24">
        <v>3.4234797561356889E-2</v>
      </c>
      <c r="C35" s="8">
        <v>2.7794935273911064E-2</v>
      </c>
      <c r="D35" s="9">
        <v>4.0835707502374176E-2</v>
      </c>
    </row>
    <row r="36" spans="1:4" x14ac:dyDescent="0.45">
      <c r="B36" s="11">
        <f>SUM(B12:B35)</f>
        <v>1</v>
      </c>
      <c r="C36" s="11">
        <f>SUM(C12:C35)</f>
        <v>1.0000000046324893</v>
      </c>
      <c r="D36" s="11">
        <f>SUM(D12:D35)</f>
        <v>1.0000000000000002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D36"/>
  <sheetViews>
    <sheetView topLeftCell="A4" workbookViewId="0">
      <selection activeCell="D35" sqref="A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710</v>
      </c>
      <c r="C5" s="102"/>
      <c r="D5" s="103"/>
    </row>
    <row r="6" spans="1:4" x14ac:dyDescent="0.45">
      <c r="A6" s="61" t="s">
        <v>0</v>
      </c>
      <c r="B6" s="87" t="s">
        <v>27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10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1.477281801485267E-3</v>
      </c>
      <c r="C12" s="3">
        <v>1.9969646137870437E-3</v>
      </c>
      <c r="D12" s="6">
        <v>9.5793086932226387E-4</v>
      </c>
    </row>
    <row r="13" spans="1:4" x14ac:dyDescent="0.45">
      <c r="A13" s="61" t="s">
        <v>72</v>
      </c>
      <c r="B13" s="23">
        <v>4.7911842210332988E-4</v>
      </c>
      <c r="C13" s="3">
        <v>3.1951433820592699E-4</v>
      </c>
      <c r="D13" s="6">
        <v>6.3862057954817595E-4</v>
      </c>
    </row>
    <row r="14" spans="1:4" x14ac:dyDescent="0.45">
      <c r="A14" s="61" t="s">
        <v>73</v>
      </c>
      <c r="B14" s="23">
        <v>3.1941228140221992E-4</v>
      </c>
      <c r="C14" s="3">
        <v>3.1951433820592699E-4</v>
      </c>
      <c r="D14" s="6">
        <v>3.1931028977408798E-4</v>
      </c>
    </row>
    <row r="15" spans="1:4" x14ac:dyDescent="0.45">
      <c r="A15" s="61" t="s">
        <v>74</v>
      </c>
      <c r="B15" s="23">
        <v>3.5933881657749741E-4</v>
      </c>
      <c r="C15" s="3">
        <v>0</v>
      </c>
      <c r="D15" s="6">
        <v>7.1844815199169799E-4</v>
      </c>
    </row>
    <row r="16" spans="1:4" x14ac:dyDescent="0.45">
      <c r="A16" s="61" t="s">
        <v>75</v>
      </c>
      <c r="B16" s="23">
        <v>1.796694082887487E-3</v>
      </c>
      <c r="C16" s="3">
        <v>1.6774502755811168E-3</v>
      </c>
      <c r="D16" s="6">
        <v>1.9158617386445277E-3</v>
      </c>
    </row>
    <row r="17" spans="1:4" x14ac:dyDescent="0.45">
      <c r="A17" s="61" t="s">
        <v>76</v>
      </c>
      <c r="B17" s="23">
        <v>2.2358859698155395E-3</v>
      </c>
      <c r="C17" s="3">
        <v>3.4347791357137152E-3</v>
      </c>
      <c r="D17" s="6">
        <v>1.0377584417657858E-3</v>
      </c>
    </row>
    <row r="18" spans="1:4" x14ac:dyDescent="0.45">
      <c r="A18" s="61" t="s">
        <v>77</v>
      </c>
      <c r="B18" s="23">
        <v>2.6990337778487583E-2</v>
      </c>
      <c r="C18" s="3">
        <v>4.9285086668264241E-2</v>
      </c>
      <c r="D18" s="6">
        <v>4.7098267741677979E-3</v>
      </c>
    </row>
    <row r="19" spans="1:4" x14ac:dyDescent="0.45">
      <c r="A19" s="61" t="s">
        <v>78</v>
      </c>
      <c r="B19" s="23">
        <v>7.9413878463626922E-2</v>
      </c>
      <c r="C19" s="3">
        <v>0.13779055835130602</v>
      </c>
      <c r="D19" s="6">
        <v>2.1074479125089807E-2</v>
      </c>
    </row>
    <row r="20" spans="1:4" x14ac:dyDescent="0.45">
      <c r="A20" s="61" t="s">
        <v>79</v>
      </c>
      <c r="B20" s="23">
        <v>8.8437275413239633E-2</v>
      </c>
      <c r="C20" s="3">
        <v>0.14170460899432863</v>
      </c>
      <c r="D20" s="6">
        <v>3.5203959447593199E-2</v>
      </c>
    </row>
    <row r="21" spans="1:4" x14ac:dyDescent="0.45">
      <c r="A21" s="61" t="s">
        <v>80</v>
      </c>
      <c r="B21" s="23">
        <v>5.1984348798211288E-2</v>
      </c>
      <c r="C21" s="3">
        <v>5.9749181244508349E-2</v>
      </c>
      <c r="D21" s="6">
        <v>4.4224475133711187E-2</v>
      </c>
    </row>
    <row r="22" spans="1:4" x14ac:dyDescent="0.45">
      <c r="A22" s="61" t="s">
        <v>81</v>
      </c>
      <c r="B22" s="23">
        <v>5.6775533019244588E-2</v>
      </c>
      <c r="C22" s="3">
        <v>5.583513060148574E-2</v>
      </c>
      <c r="D22" s="6">
        <v>5.7715334876666399E-2</v>
      </c>
    </row>
    <row r="23" spans="1:4" x14ac:dyDescent="0.45">
      <c r="A23" s="61" t="s">
        <v>82</v>
      </c>
      <c r="B23" s="23">
        <v>8.1170646011339137E-2</v>
      </c>
      <c r="C23" s="3">
        <v>5.8870516814442046E-2</v>
      </c>
      <c r="D23" s="6">
        <v>0.10345653388680451</v>
      </c>
    </row>
    <row r="24" spans="1:4" x14ac:dyDescent="0.45">
      <c r="A24" s="61" t="s">
        <v>83</v>
      </c>
      <c r="B24" s="23">
        <v>9.9297292980915122E-2</v>
      </c>
      <c r="C24" s="3">
        <v>9.9129323428388844E-2</v>
      </c>
      <c r="D24" s="6">
        <v>9.9465155264628402E-2</v>
      </c>
    </row>
    <row r="25" spans="1:4" x14ac:dyDescent="0.45">
      <c r="A25" s="61" t="s">
        <v>84</v>
      </c>
      <c r="B25" s="23">
        <v>7.5301445340573342E-2</v>
      </c>
      <c r="C25" s="3">
        <v>8.7626807252975475E-2</v>
      </c>
      <c r="D25" s="6">
        <v>6.2983954657938851E-2</v>
      </c>
    </row>
    <row r="26" spans="1:4" x14ac:dyDescent="0.45">
      <c r="A26" s="61" t="s">
        <v>85</v>
      </c>
      <c r="B26" s="23">
        <v>7.5141739199872229E-2</v>
      </c>
      <c r="C26" s="3">
        <v>8.4511542455467686E-2</v>
      </c>
      <c r="D26" s="6">
        <v>6.5777919693462125E-2</v>
      </c>
    </row>
    <row r="27" spans="1:4" x14ac:dyDescent="0.45">
      <c r="A27" s="61" t="s">
        <v>86</v>
      </c>
      <c r="B27" s="23">
        <v>7.9573584604328035E-2</v>
      </c>
      <c r="C27" s="3">
        <v>7.3408419202811728E-2</v>
      </c>
      <c r="D27" s="6">
        <v>8.5734812804342614E-2</v>
      </c>
    </row>
    <row r="28" spans="1:4" x14ac:dyDescent="0.45">
      <c r="A28" s="61" t="s">
        <v>87</v>
      </c>
      <c r="B28" s="23">
        <v>0.10468737522957758</v>
      </c>
      <c r="C28" s="3">
        <v>5.4876587586867961E-2</v>
      </c>
      <c r="D28" s="6">
        <v>0.15446635267821507</v>
      </c>
    </row>
    <row r="29" spans="1:4" x14ac:dyDescent="0.45">
      <c r="A29" s="61" t="s">
        <v>88</v>
      </c>
      <c r="B29" s="23">
        <v>9.9097660305038734E-2</v>
      </c>
      <c r="C29" s="3">
        <v>4.2335649812285325E-2</v>
      </c>
      <c r="D29" s="6">
        <v>0.15582342140975494</v>
      </c>
    </row>
    <row r="30" spans="1:4" x14ac:dyDescent="0.45">
      <c r="A30" s="61" t="s">
        <v>89</v>
      </c>
      <c r="B30" s="23">
        <v>2.2079373951928452E-2</v>
      </c>
      <c r="C30" s="3">
        <v>1.789280293953191E-2</v>
      </c>
      <c r="D30" s="6">
        <v>2.6263271333918734E-2</v>
      </c>
    </row>
    <row r="31" spans="1:4" x14ac:dyDescent="0.45">
      <c r="A31" s="61" t="s">
        <v>90</v>
      </c>
      <c r="B31" s="23">
        <v>1.652958556256488E-2</v>
      </c>
      <c r="C31" s="3">
        <v>8.8665228852144746E-3</v>
      </c>
      <c r="D31" s="6">
        <v>2.4187754450387164E-2</v>
      </c>
    </row>
    <row r="32" spans="1:4" x14ac:dyDescent="0.45">
      <c r="A32" s="61" t="s">
        <v>91</v>
      </c>
      <c r="B32" s="23">
        <v>9.5823684420665977E-3</v>
      </c>
      <c r="C32" s="3">
        <v>6.7098011023244671E-3</v>
      </c>
      <c r="D32" s="6">
        <v>1.245310130118943E-2</v>
      </c>
    </row>
    <row r="33" spans="1:4" x14ac:dyDescent="0.45">
      <c r="A33" s="61" t="s">
        <v>92</v>
      </c>
      <c r="B33" s="23">
        <v>1.1019723708376587E-2</v>
      </c>
      <c r="C33" s="3">
        <v>5.8311366722581673E-3</v>
      </c>
      <c r="D33" s="6">
        <v>1.6204997206034966E-2</v>
      </c>
    </row>
    <row r="34" spans="1:4" x14ac:dyDescent="0.45">
      <c r="A34" s="61" t="s">
        <v>93</v>
      </c>
      <c r="B34" s="23">
        <v>1.2576858580212409E-2</v>
      </c>
      <c r="C34" s="3">
        <v>3.0353862129563064E-3</v>
      </c>
      <c r="D34" s="6">
        <v>2.2112237566855594E-2</v>
      </c>
    </row>
    <row r="35" spans="1:4" ht="14.65" thickBot="1" x14ac:dyDescent="0.5">
      <c r="A35" s="63" t="s">
        <v>94</v>
      </c>
      <c r="B35" s="24">
        <v>3.6732412361255291E-3</v>
      </c>
      <c r="C35" s="8">
        <v>4.7927150730889051E-3</v>
      </c>
      <c r="D35" s="9">
        <v>2.5544823181927038E-3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D36"/>
  <sheetViews>
    <sheetView topLeftCell="A4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712</v>
      </c>
      <c r="C5" s="102"/>
      <c r="D5" s="103"/>
    </row>
    <row r="6" spans="1:4" x14ac:dyDescent="0.45">
      <c r="A6" s="61" t="s">
        <v>0</v>
      </c>
      <c r="B6" s="87" t="s">
        <v>28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22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3.604531410916581E-2</v>
      </c>
      <c r="C19" s="3">
        <v>6.7901234567901231E-2</v>
      </c>
      <c r="D19" s="6">
        <v>4.1237113402061857E-3</v>
      </c>
    </row>
    <row r="20" spans="1:4" x14ac:dyDescent="0.45">
      <c r="A20" s="61" t="s">
        <v>79</v>
      </c>
      <c r="B20" s="23">
        <v>9.4747682801235841E-2</v>
      </c>
      <c r="C20" s="3">
        <v>0.15020576131687244</v>
      </c>
      <c r="D20" s="6">
        <v>3.9175257731958762E-2</v>
      </c>
    </row>
    <row r="21" spans="1:4" x14ac:dyDescent="0.45">
      <c r="A21" s="61" t="s">
        <v>80</v>
      </c>
      <c r="B21" s="23">
        <v>6.9001029866117405E-2</v>
      </c>
      <c r="C21" s="3">
        <v>9.4650205761316872E-2</v>
      </c>
      <c r="D21" s="6">
        <v>4.3298969072164947E-2</v>
      </c>
    </row>
    <row r="22" spans="1:4" x14ac:dyDescent="0.45">
      <c r="A22" s="61" t="s">
        <v>81</v>
      </c>
      <c r="B22" s="23">
        <v>7.4150360453141093E-2</v>
      </c>
      <c r="C22" s="3">
        <v>8.4362139917695478E-2</v>
      </c>
      <c r="D22" s="6">
        <v>6.3917525773195871E-2</v>
      </c>
    </row>
    <row r="23" spans="1:4" x14ac:dyDescent="0.45">
      <c r="A23" s="61" t="s">
        <v>82</v>
      </c>
      <c r="B23" s="23">
        <v>0.10504634397528322</v>
      </c>
      <c r="C23" s="3">
        <v>8.2304526748971193E-2</v>
      </c>
      <c r="D23" s="6">
        <v>0.12783505154639174</v>
      </c>
    </row>
    <row r="24" spans="1:4" x14ac:dyDescent="0.45">
      <c r="A24" s="61" t="s">
        <v>83</v>
      </c>
      <c r="B24" s="23">
        <v>0.12564366632337795</v>
      </c>
      <c r="C24" s="3">
        <v>0.10905349794238683</v>
      </c>
      <c r="D24" s="6">
        <v>0.1422680412371134</v>
      </c>
    </row>
    <row r="25" spans="1:4" x14ac:dyDescent="0.45">
      <c r="A25" s="61" t="s">
        <v>84</v>
      </c>
      <c r="B25" s="23">
        <v>7.6210092687950565E-2</v>
      </c>
      <c r="C25" s="3">
        <v>8.6419753086419748E-2</v>
      </c>
      <c r="D25" s="6">
        <v>6.5979381443298971E-2</v>
      </c>
    </row>
    <row r="26" spans="1:4" x14ac:dyDescent="0.45">
      <c r="A26" s="61" t="s">
        <v>85</v>
      </c>
      <c r="B26" s="23">
        <v>9.577754891864057E-2</v>
      </c>
      <c r="C26" s="3">
        <v>9.6707818930041156E-2</v>
      </c>
      <c r="D26" s="6">
        <v>9.4845360824742264E-2</v>
      </c>
    </row>
    <row r="27" spans="1:4" x14ac:dyDescent="0.45">
      <c r="A27" s="61" t="s">
        <v>86</v>
      </c>
      <c r="B27" s="23">
        <v>0.10813594232749743</v>
      </c>
      <c r="C27" s="3">
        <v>0.102880658436214</v>
      </c>
      <c r="D27" s="6">
        <v>0.1134020618556701</v>
      </c>
    </row>
    <row r="28" spans="1:4" x14ac:dyDescent="0.45">
      <c r="A28" s="61" t="s">
        <v>87</v>
      </c>
      <c r="B28" s="23">
        <v>8.1359423274974252E-2</v>
      </c>
      <c r="C28" s="3">
        <v>7.2016460905349799E-2</v>
      </c>
      <c r="D28" s="6">
        <v>9.0721649484536079E-2</v>
      </c>
    </row>
    <row r="29" spans="1:4" x14ac:dyDescent="0.45">
      <c r="A29" s="61" t="s">
        <v>88</v>
      </c>
      <c r="B29" s="23">
        <v>0.11225540679711637</v>
      </c>
      <c r="C29" s="3">
        <v>4.7325102880658436E-2</v>
      </c>
      <c r="D29" s="6">
        <v>0.17731958762886599</v>
      </c>
    </row>
    <row r="30" spans="1:4" x14ac:dyDescent="0.45">
      <c r="A30" s="61" t="s">
        <v>89</v>
      </c>
      <c r="B30" s="23">
        <v>2.1627188465499485E-2</v>
      </c>
      <c r="C30" s="3">
        <v>6.1728395061728392E-3</v>
      </c>
      <c r="D30" s="6">
        <v>3.711340206185567E-2</v>
      </c>
    </row>
    <row r="31" spans="1:4" x14ac:dyDescent="0.45">
      <c r="A31" s="61" t="s">
        <v>90</v>
      </c>
      <c r="B31" s="23">
        <v>0</v>
      </c>
      <c r="C31" s="3">
        <v>0</v>
      </c>
      <c r="D31" s="6">
        <v>0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1097-1A4C-4E29-92B5-F0EC94E3D04B}">
  <sheetPr>
    <tabColor rgb="FFFFFF00"/>
  </sheetPr>
  <dimension ref="A1:G36"/>
  <sheetViews>
    <sheetView workbookViewId="0">
      <selection activeCell="G35" sqref="A10:G35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ht="14.65" thickBot="1" x14ac:dyDescent="0.5">
      <c r="A3" s="100" t="s">
        <v>157</v>
      </c>
      <c r="B3" s="91"/>
      <c r="C3" s="91"/>
      <c r="D3" s="91"/>
      <c r="E3" s="91"/>
      <c r="F3" s="91"/>
      <c r="G3" s="92"/>
    </row>
    <row r="4" spans="1:7" x14ac:dyDescent="0.45">
      <c r="A4" s="36" t="s">
        <v>68</v>
      </c>
      <c r="B4" s="108">
        <v>720</v>
      </c>
      <c r="C4" s="102"/>
      <c r="D4" s="103"/>
      <c r="E4" s="101">
        <v>720</v>
      </c>
      <c r="F4" s="102"/>
      <c r="G4" s="103"/>
    </row>
    <row r="5" spans="1:7" x14ac:dyDescent="0.45">
      <c r="A5" s="37" t="s">
        <v>0</v>
      </c>
      <c r="B5" s="99" t="s">
        <v>29</v>
      </c>
      <c r="C5" s="88"/>
      <c r="D5" s="89"/>
      <c r="E5" s="87" t="s">
        <v>29</v>
      </c>
      <c r="F5" s="88"/>
      <c r="G5" s="89"/>
    </row>
    <row r="6" spans="1:7" x14ac:dyDescent="0.45">
      <c r="A6" s="37" t="s">
        <v>98</v>
      </c>
      <c r="B6" s="99" t="s">
        <v>120</v>
      </c>
      <c r="C6" s="88"/>
      <c r="D6" s="89"/>
      <c r="E6" s="87" t="s">
        <v>121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15</v>
      </c>
      <c r="C9" s="91"/>
      <c r="D9" s="92"/>
      <c r="E9" s="90">
        <v>4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>
        <v>1.460460444260061E-4</v>
      </c>
      <c r="C12" s="3">
        <v>1.4627100360192346E-4</v>
      </c>
      <c r="D12" s="6">
        <v>1.4582177614463454E-4</v>
      </c>
      <c r="E12" s="23">
        <v>1.0617120106171201E-3</v>
      </c>
      <c r="F12" s="3">
        <v>1.0632642211589581E-3</v>
      </c>
      <c r="G12" s="6">
        <v>1.0601643254704478E-3</v>
      </c>
    </row>
    <row r="13" spans="1:7" x14ac:dyDescent="0.45">
      <c r="A13" s="37" t="s">
        <v>72</v>
      </c>
      <c r="B13" s="25">
        <v>1.8255755553250763E-4</v>
      </c>
      <c r="C13" s="3">
        <v>1.4627100360192346E-4</v>
      </c>
      <c r="D13" s="6">
        <v>2.1873266421695183E-4</v>
      </c>
      <c r="E13" s="23">
        <v>1.0617120106171201E-3</v>
      </c>
      <c r="F13" s="3">
        <v>1.0632642211589581E-3</v>
      </c>
      <c r="G13" s="6">
        <v>1.0601643254704478E-3</v>
      </c>
    </row>
    <row r="14" spans="1:7" x14ac:dyDescent="0.45">
      <c r="A14" s="37" t="s">
        <v>73</v>
      </c>
      <c r="B14" s="25">
        <v>0</v>
      </c>
      <c r="C14" s="3">
        <v>0</v>
      </c>
      <c r="D14" s="6">
        <v>0</v>
      </c>
      <c r="E14" s="23">
        <v>2.2561380225613803E-3</v>
      </c>
      <c r="F14" s="3">
        <v>5.3163211057947904E-4</v>
      </c>
      <c r="G14" s="6">
        <v>3.9756162205141794E-3</v>
      </c>
    </row>
    <row r="15" spans="1:7" x14ac:dyDescent="0.45">
      <c r="A15" s="37" t="s">
        <v>74</v>
      </c>
      <c r="B15" s="25">
        <v>1.9716215997510824E-3</v>
      </c>
      <c r="C15" s="3">
        <v>2.9985555738394308E-3</v>
      </c>
      <c r="D15" s="6">
        <v>9.4784154494012443E-4</v>
      </c>
      <c r="E15" s="23">
        <v>0</v>
      </c>
      <c r="F15" s="3">
        <v>0</v>
      </c>
      <c r="G15" s="6">
        <v>0</v>
      </c>
    </row>
    <row r="16" spans="1:7" x14ac:dyDescent="0.45">
      <c r="A16" s="37" t="s">
        <v>75</v>
      </c>
      <c r="B16" s="25">
        <v>9.0913662655188795E-3</v>
      </c>
      <c r="C16" s="3">
        <v>1.3603203334978883E-2</v>
      </c>
      <c r="D16" s="6">
        <v>4.5933859485559874E-3</v>
      </c>
      <c r="E16" s="23">
        <v>5.3085600530856003E-4</v>
      </c>
      <c r="F16" s="3">
        <v>5.3163211057947904E-4</v>
      </c>
      <c r="G16" s="6">
        <v>5.3008216273522392E-4</v>
      </c>
    </row>
    <row r="17" spans="1:7" x14ac:dyDescent="0.45">
      <c r="A17" s="37" t="s">
        <v>76</v>
      </c>
      <c r="B17" s="25">
        <v>5.7688187548272417E-3</v>
      </c>
      <c r="C17" s="3">
        <v>6.9478726710913647E-3</v>
      </c>
      <c r="D17" s="6">
        <v>4.5933859485559874E-3</v>
      </c>
      <c r="E17" s="23">
        <v>2.2561380225613803E-3</v>
      </c>
      <c r="F17" s="3">
        <v>3.4556087187666137E-3</v>
      </c>
      <c r="G17" s="6">
        <v>1.0601643254704478E-3</v>
      </c>
    </row>
    <row r="18" spans="1:7" x14ac:dyDescent="0.45">
      <c r="A18" s="37" t="s">
        <v>77</v>
      </c>
      <c r="B18" s="25">
        <v>1.2121821687358508E-2</v>
      </c>
      <c r="C18" s="3">
        <v>1.9234636973652935E-2</v>
      </c>
      <c r="D18" s="6">
        <v>5.0308512769898913E-3</v>
      </c>
      <c r="E18" s="23">
        <v>1.6323822163238223E-2</v>
      </c>
      <c r="F18" s="3">
        <v>2.9505582137161084E-2</v>
      </c>
      <c r="G18" s="6">
        <v>3.1804929764113437E-3</v>
      </c>
    </row>
    <row r="19" spans="1:7" x14ac:dyDescent="0.45">
      <c r="A19" s="37" t="s">
        <v>78</v>
      </c>
      <c r="B19" s="25">
        <v>3.9213362928382643E-2</v>
      </c>
      <c r="C19" s="3">
        <v>6.8016016674894403E-2</v>
      </c>
      <c r="D19" s="6">
        <v>1.0499167882413686E-2</v>
      </c>
      <c r="E19" s="23">
        <v>7.5514266755142667E-2</v>
      </c>
      <c r="F19" s="3">
        <v>0.13822434875066453</v>
      </c>
      <c r="G19" s="6">
        <v>1.2987012987012988E-2</v>
      </c>
    </row>
    <row r="20" spans="1:7" x14ac:dyDescent="0.45">
      <c r="A20" s="37" t="s">
        <v>79</v>
      </c>
      <c r="B20" s="25">
        <v>9.0481026590915392E-2</v>
      </c>
      <c r="C20" s="3">
        <v>0.12184374600040224</v>
      </c>
      <c r="D20" s="6">
        <v>5.9214628354778365E-2</v>
      </c>
      <c r="E20" s="23">
        <v>8.7193098871930982E-2</v>
      </c>
      <c r="F20" s="3">
        <v>0.12094630515683147</v>
      </c>
      <c r="G20" s="6">
        <v>5.3538298436257618E-2</v>
      </c>
    </row>
    <row r="21" spans="1:7" x14ac:dyDescent="0.45">
      <c r="A21" s="37" t="s">
        <v>80</v>
      </c>
      <c r="B21" s="25">
        <v>0.10253149282397514</v>
      </c>
      <c r="C21" s="3">
        <v>0.11379884080229645</v>
      </c>
      <c r="D21" s="6">
        <v>9.1298749120992423E-2</v>
      </c>
      <c r="E21" s="23">
        <v>0.10670205706702057</v>
      </c>
      <c r="F21" s="3">
        <v>0.11403508771929824</v>
      </c>
      <c r="G21" s="6">
        <v>9.9390405512854496E-2</v>
      </c>
    </row>
    <row r="22" spans="1:7" x14ac:dyDescent="0.45">
      <c r="A22" s="37" t="s">
        <v>81</v>
      </c>
      <c r="B22" s="25">
        <v>0.10272388714825059</v>
      </c>
      <c r="C22" s="3">
        <v>0.10590020660779259</v>
      </c>
      <c r="D22" s="6">
        <v>9.9557322799969289E-2</v>
      </c>
      <c r="E22" s="23">
        <v>9.8075646980756465E-2</v>
      </c>
      <c r="F22" s="3">
        <v>9.6491228070175433E-2</v>
      </c>
      <c r="G22" s="6">
        <v>9.9655446594222111E-2</v>
      </c>
    </row>
    <row r="23" spans="1:7" x14ac:dyDescent="0.45">
      <c r="A23" s="37" t="s">
        <v>82</v>
      </c>
      <c r="B23" s="25">
        <v>9.0425650942278682E-2</v>
      </c>
      <c r="C23" s="3">
        <v>7.6938547894611742E-2</v>
      </c>
      <c r="D23" s="6">
        <v>0.10387133240358128</v>
      </c>
      <c r="E23" s="23">
        <v>9.263437292634373E-2</v>
      </c>
      <c r="F23" s="3">
        <v>7.5225943646996279E-2</v>
      </c>
      <c r="G23" s="6">
        <v>0.10999204876755897</v>
      </c>
    </row>
    <row r="24" spans="1:7" x14ac:dyDescent="0.45">
      <c r="A24" s="37" t="s">
        <v>83</v>
      </c>
      <c r="B24" s="25">
        <v>7.5015843839647725E-2</v>
      </c>
      <c r="C24" s="3">
        <v>6.7577203664088648E-2</v>
      </c>
      <c r="D24" s="6">
        <v>8.2431638465990192E-2</v>
      </c>
      <c r="E24" s="23">
        <v>8.5467816854678164E-2</v>
      </c>
      <c r="F24" s="3">
        <v>7.628920786815524E-2</v>
      </c>
      <c r="G24" s="6">
        <v>9.4619666048237475E-2</v>
      </c>
    </row>
    <row r="25" spans="1:7" x14ac:dyDescent="0.45">
      <c r="A25" s="37" t="s">
        <v>84</v>
      </c>
      <c r="B25" s="25">
        <v>8.9917253033591563E-2</v>
      </c>
      <c r="C25" s="3">
        <v>0.10377927705556469</v>
      </c>
      <c r="D25" s="6">
        <v>7.6097802055153568E-2</v>
      </c>
      <c r="E25" s="23">
        <v>8.4007962840079622E-2</v>
      </c>
      <c r="F25" s="3">
        <v>9.7022860180754913E-2</v>
      </c>
      <c r="G25" s="6">
        <v>7.103100980652001E-2</v>
      </c>
    </row>
    <row r="26" spans="1:7" x14ac:dyDescent="0.45">
      <c r="A26" s="37" t="s">
        <v>85</v>
      </c>
      <c r="B26" s="25">
        <v>9.7331427012970498E-2</v>
      </c>
      <c r="C26" s="3">
        <v>9.5734371857458908E-2</v>
      </c>
      <c r="D26" s="6">
        <v>9.8923577293223236E-2</v>
      </c>
      <c r="E26" s="23">
        <v>8.2415394824153942E-2</v>
      </c>
      <c r="F26" s="3">
        <v>8.3466241360978202E-2</v>
      </c>
      <c r="G26" s="6">
        <v>8.1367611979856883E-2</v>
      </c>
    </row>
    <row r="27" spans="1:7" x14ac:dyDescent="0.45">
      <c r="A27" s="37" t="s">
        <v>86</v>
      </c>
      <c r="B27" s="25">
        <v>9.5542083244039636E-2</v>
      </c>
      <c r="C27" s="3">
        <v>8.973726070978004E-2</v>
      </c>
      <c r="D27" s="6">
        <v>0.10132907800927558</v>
      </c>
      <c r="E27" s="23">
        <v>8.7723954877239552E-2</v>
      </c>
      <c r="F27" s="3">
        <v>7.8947368421052627E-2</v>
      </c>
      <c r="G27" s="6">
        <v>9.6474953617810763E-2</v>
      </c>
    </row>
    <row r="28" spans="1:7" x14ac:dyDescent="0.45">
      <c r="A28" s="37" t="s">
        <v>87</v>
      </c>
      <c r="B28" s="25">
        <v>7.9743611941045303E-2</v>
      </c>
      <c r="C28" s="3">
        <v>5.8142723931764576E-2</v>
      </c>
      <c r="D28" s="6">
        <v>0.10127815931030418</v>
      </c>
      <c r="E28" s="23">
        <v>7.5514266755142667E-2</v>
      </c>
      <c r="F28" s="3">
        <v>3.7480063795853266E-2</v>
      </c>
      <c r="G28" s="6">
        <v>0.11343758282533793</v>
      </c>
    </row>
    <row r="29" spans="1:7" x14ac:dyDescent="0.45">
      <c r="A29" s="37" t="s">
        <v>88</v>
      </c>
      <c r="B29" s="25">
        <v>5.5894250727463013E-2</v>
      </c>
      <c r="C29" s="3">
        <v>2.8230303695171224E-2</v>
      </c>
      <c r="D29" s="6">
        <v>8.3473236254891434E-2</v>
      </c>
      <c r="E29" s="23">
        <v>5.7199734571997347E-2</v>
      </c>
      <c r="F29" s="3">
        <v>1.9404572036150983E-2</v>
      </c>
      <c r="G29" s="6">
        <v>9.4884707129605089E-2</v>
      </c>
    </row>
    <row r="30" spans="1:7" x14ac:dyDescent="0.45">
      <c r="A30" s="37" t="s">
        <v>89</v>
      </c>
      <c r="B30" s="25">
        <v>2.4249536074627265E-2</v>
      </c>
      <c r="C30" s="3">
        <v>1.1994222295357723E-2</v>
      </c>
      <c r="D30" s="6">
        <v>3.6467211338321134E-2</v>
      </c>
      <c r="E30" s="23">
        <v>1.8978102189781021E-2</v>
      </c>
      <c r="F30" s="3">
        <v>9.8351940457203618E-3</v>
      </c>
      <c r="G30" s="6">
        <v>2.8094354624966868E-2</v>
      </c>
    </row>
    <row r="31" spans="1:7" x14ac:dyDescent="0.45">
      <c r="A31" s="37" t="s">
        <v>90</v>
      </c>
      <c r="B31" s="25">
        <v>1.5006231064772127E-2</v>
      </c>
      <c r="C31" s="3">
        <v>1.1116596273746183E-2</v>
      </c>
      <c r="D31" s="6">
        <v>1.8883920010730169E-2</v>
      </c>
      <c r="E31" s="23">
        <v>9.422694094226941E-3</v>
      </c>
      <c r="F31" s="3">
        <v>6.379585326953748E-3</v>
      </c>
      <c r="G31" s="6">
        <v>1.2456930824277764E-2</v>
      </c>
    </row>
    <row r="32" spans="1:7" x14ac:dyDescent="0.45">
      <c r="A32" s="37" t="s">
        <v>91</v>
      </c>
      <c r="B32" s="25">
        <v>6.800268943585909E-3</v>
      </c>
      <c r="C32" s="3">
        <v>2.0112262995264476E-3</v>
      </c>
      <c r="D32" s="6">
        <v>1.1574603481480365E-2</v>
      </c>
      <c r="E32" s="23">
        <v>8.4936960849369605E-3</v>
      </c>
      <c r="F32" s="3">
        <v>3.9872408293460922E-3</v>
      </c>
      <c r="G32" s="6">
        <v>1.2987012987012988E-2</v>
      </c>
    </row>
    <row r="33" spans="1:7" x14ac:dyDescent="0.45">
      <c r="A33" s="37" t="s">
        <v>92</v>
      </c>
      <c r="B33" s="25">
        <v>3.1947572218188835E-3</v>
      </c>
      <c r="C33" s="3">
        <v>7.3135501800961728E-4</v>
      </c>
      <c r="D33" s="6">
        <v>5.6505938256045879E-3</v>
      </c>
      <c r="E33" s="23">
        <v>3.4505640345056402E-3</v>
      </c>
      <c r="F33" s="3">
        <v>2.9239766081871343E-3</v>
      </c>
      <c r="G33" s="6">
        <v>3.9756162205141794E-3</v>
      </c>
    </row>
    <row r="34" spans="1:7" x14ac:dyDescent="0.45">
      <c r="A34" s="37" t="s">
        <v>93</v>
      </c>
      <c r="B34" s="25">
        <v>1.3691816664938071E-3</v>
      </c>
      <c r="C34" s="3">
        <v>1.097032527014426E-3</v>
      </c>
      <c r="D34" s="6">
        <v>1.6404949816271385E-3</v>
      </c>
      <c r="E34" s="23">
        <v>1.9907100199071004E-3</v>
      </c>
      <c r="F34" s="3">
        <v>1.8607123870281765E-3</v>
      </c>
      <c r="G34" s="6">
        <v>2.1203286509408957E-3</v>
      </c>
    </row>
    <row r="35" spans="1:7" ht="14.65" thickBot="1" x14ac:dyDescent="0.5">
      <c r="A35" s="38" t="s">
        <v>94</v>
      </c>
      <c r="B35" s="26">
        <v>1.2779028887275534E-3</v>
      </c>
      <c r="C35" s="8">
        <v>2.7425813175360649E-4</v>
      </c>
      <c r="D35" s="9">
        <v>2.2784652522599147E-3</v>
      </c>
      <c r="E35" s="24">
        <v>1.7252820172528201E-3</v>
      </c>
      <c r="F35" s="8">
        <v>1.3290802764486975E-3</v>
      </c>
      <c r="G35" s="9">
        <v>2.1203286509408957E-3</v>
      </c>
    </row>
    <row r="36" spans="1:7" x14ac:dyDescent="0.45">
      <c r="B36" s="11">
        <f t="shared" ref="B36:G36" si="0">SUM(B12:B35)</f>
        <v>0.99999999999999989</v>
      </c>
      <c r="C36" s="11">
        <f t="shared" si="0"/>
        <v>0.99999999999999989</v>
      </c>
      <c r="D36" s="11">
        <f t="shared" si="0"/>
        <v>1</v>
      </c>
      <c r="E36" s="11">
        <f t="shared" si="0"/>
        <v>1</v>
      </c>
      <c r="F36" s="11">
        <f t="shared" si="0"/>
        <v>1</v>
      </c>
      <c r="G36" s="11">
        <f t="shared" si="0"/>
        <v>1</v>
      </c>
    </row>
  </sheetData>
  <mergeCells count="16">
    <mergeCell ref="B5:D5"/>
    <mergeCell ref="E5:G5"/>
    <mergeCell ref="A1:G2"/>
    <mergeCell ref="A3:G3"/>
    <mergeCell ref="B4:D4"/>
    <mergeCell ref="E4:G4"/>
    <mergeCell ref="B10:D10"/>
    <mergeCell ref="E10:G10"/>
    <mergeCell ref="B6:D6"/>
    <mergeCell ref="E6:G6"/>
    <mergeCell ref="B7:D7"/>
    <mergeCell ref="E7:G7"/>
    <mergeCell ref="B8:D8"/>
    <mergeCell ref="E8:G8"/>
    <mergeCell ref="B9:D9"/>
    <mergeCell ref="E9:G9"/>
  </mergeCells>
  <pageMargins left="0.7" right="0.7" top="0.75" bottom="0.75" header="0.3" footer="0.3"/>
  <pageSetup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D36"/>
  <sheetViews>
    <sheetView topLeftCell="A3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730</v>
      </c>
      <c r="C5" s="102"/>
      <c r="D5" s="103"/>
    </row>
    <row r="6" spans="1:4" x14ac:dyDescent="0.45">
      <c r="A6" s="61" t="s">
        <v>0</v>
      </c>
      <c r="B6" s="87" t="s">
        <v>30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7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1.6787912702853946E-3</v>
      </c>
      <c r="C18" s="3">
        <v>0</v>
      </c>
      <c r="D18" s="6">
        <v>3.3519553072625698E-3</v>
      </c>
    </row>
    <row r="19" spans="1:4" x14ac:dyDescent="0.45">
      <c r="A19" s="61" t="s">
        <v>78</v>
      </c>
      <c r="B19" s="23">
        <v>7.0509233351986569E-2</v>
      </c>
      <c r="C19" s="3">
        <v>0.11098654708520179</v>
      </c>
      <c r="D19" s="6">
        <v>3.0167597765363128E-2</v>
      </c>
    </row>
    <row r="20" spans="1:4" x14ac:dyDescent="0.45">
      <c r="A20" s="61" t="s">
        <v>79</v>
      </c>
      <c r="B20" s="23">
        <v>0.12367095691102406</v>
      </c>
      <c r="C20" s="3">
        <v>0.18273542600896861</v>
      </c>
      <c r="D20" s="6">
        <v>6.4804469273743018E-2</v>
      </c>
    </row>
    <row r="21" spans="1:4" x14ac:dyDescent="0.45">
      <c r="A21" s="61" t="s">
        <v>80</v>
      </c>
      <c r="B21" s="23">
        <v>8.5058757694459988E-2</v>
      </c>
      <c r="C21" s="3">
        <v>9.3049327354260095E-2</v>
      </c>
      <c r="D21" s="6">
        <v>7.7094972067039108E-2</v>
      </c>
    </row>
    <row r="22" spans="1:4" x14ac:dyDescent="0.45">
      <c r="A22" s="61" t="s">
        <v>81</v>
      </c>
      <c r="B22" s="23">
        <v>0.10072747621712368</v>
      </c>
      <c r="C22" s="3">
        <v>9.417040358744394E-2</v>
      </c>
      <c r="D22" s="6">
        <v>0.10726256983240223</v>
      </c>
    </row>
    <row r="23" spans="1:4" x14ac:dyDescent="0.45">
      <c r="A23" s="61" t="s">
        <v>82</v>
      </c>
      <c r="B23" s="23">
        <v>0.13430330162283155</v>
      </c>
      <c r="C23" s="3">
        <v>0.1132286995515695</v>
      </c>
      <c r="D23" s="6">
        <v>0.1553072625698324</v>
      </c>
    </row>
    <row r="24" spans="1:4" x14ac:dyDescent="0.45">
      <c r="A24" s="61" t="s">
        <v>83</v>
      </c>
      <c r="B24" s="23">
        <v>9.7929490766648017E-2</v>
      </c>
      <c r="C24" s="3">
        <v>7.847533632286996E-2</v>
      </c>
      <c r="D24" s="6">
        <v>0.11731843575418995</v>
      </c>
    </row>
    <row r="25" spans="1:4" x14ac:dyDescent="0.45">
      <c r="A25" s="61" t="s">
        <v>84</v>
      </c>
      <c r="B25" s="23">
        <v>8.7856743144935648E-2</v>
      </c>
      <c r="C25" s="3">
        <v>9.52914798206278E-2</v>
      </c>
      <c r="D25" s="6">
        <v>8.0446927374301674E-2</v>
      </c>
    </row>
    <row r="26" spans="1:4" x14ac:dyDescent="0.45">
      <c r="A26" s="61" t="s">
        <v>85</v>
      </c>
      <c r="B26" s="23">
        <v>9.8489087856743152E-2</v>
      </c>
      <c r="C26" s="3">
        <v>0.10538116591928251</v>
      </c>
      <c r="D26" s="6">
        <v>9.1620111731843576E-2</v>
      </c>
    </row>
    <row r="27" spans="1:4" x14ac:dyDescent="0.45">
      <c r="A27" s="61" t="s">
        <v>86</v>
      </c>
      <c r="B27" s="23">
        <v>8.2260772243984329E-2</v>
      </c>
      <c r="C27" s="3">
        <v>7.3991031390134535E-2</v>
      </c>
      <c r="D27" s="6">
        <v>9.0502793296089387E-2</v>
      </c>
    </row>
    <row r="28" spans="1:4" x14ac:dyDescent="0.45">
      <c r="A28" s="61" t="s">
        <v>87</v>
      </c>
      <c r="B28" s="23">
        <v>6.2674874090654725E-2</v>
      </c>
      <c r="C28" s="3">
        <v>4.4843049327354258E-2</v>
      </c>
      <c r="D28" s="6">
        <v>8.0446927374301674E-2</v>
      </c>
    </row>
    <row r="29" spans="1:4" x14ac:dyDescent="0.45">
      <c r="A29" s="61" t="s">
        <v>88</v>
      </c>
      <c r="B29" s="23">
        <v>5.4840514829322888E-2</v>
      </c>
      <c r="C29" s="3">
        <v>7.8475336322869956E-3</v>
      </c>
      <c r="D29" s="6">
        <v>0.10167597765363129</v>
      </c>
    </row>
    <row r="30" spans="1:4" x14ac:dyDescent="0.45">
      <c r="A30" s="61" t="s">
        <v>89</v>
      </c>
      <c r="B30" s="23">
        <v>0</v>
      </c>
      <c r="C30" s="3">
        <v>0</v>
      </c>
      <c r="D30" s="6">
        <v>0</v>
      </c>
    </row>
    <row r="31" spans="1:4" x14ac:dyDescent="0.45">
      <c r="A31" s="61" t="s">
        <v>90</v>
      </c>
      <c r="B31" s="23">
        <v>0</v>
      </c>
      <c r="C31" s="3">
        <v>0</v>
      </c>
      <c r="D31" s="6">
        <v>0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D36"/>
  <sheetViews>
    <sheetView topLeftCell="A4" workbookViewId="0">
      <selection activeCell="D35" sqref="A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731</v>
      </c>
      <c r="C5" s="102"/>
      <c r="D5" s="103"/>
    </row>
    <row r="6" spans="1:4" x14ac:dyDescent="0.45">
      <c r="A6" s="61" t="s">
        <v>0</v>
      </c>
      <c r="B6" s="87" t="s">
        <v>31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4.1580041580041582E-3</v>
      </c>
      <c r="C14" s="3">
        <v>4.2016806722689074E-3</v>
      </c>
      <c r="D14" s="6">
        <v>4.11522633744856E-3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1.2474012474012475E-2</v>
      </c>
      <c r="C16" s="3">
        <v>1.2605042016806723E-2</v>
      </c>
      <c r="D16" s="6">
        <v>1.2345679012345678E-2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8.3160083160083165E-3</v>
      </c>
      <c r="C18" s="3">
        <v>8.4033613445378148E-3</v>
      </c>
      <c r="D18" s="6">
        <v>8.23045267489712E-3</v>
      </c>
    </row>
    <row r="19" spans="1:4" x14ac:dyDescent="0.45">
      <c r="A19" s="61" t="s">
        <v>78</v>
      </c>
      <c r="B19" s="23">
        <v>5.1975051975051978E-2</v>
      </c>
      <c r="C19" s="3">
        <v>9.6638655462184878E-2</v>
      </c>
      <c r="D19" s="6">
        <v>8.23045267489712E-3</v>
      </c>
    </row>
    <row r="20" spans="1:4" x14ac:dyDescent="0.45">
      <c r="A20" s="61" t="s">
        <v>79</v>
      </c>
      <c r="B20" s="23">
        <v>8.7318087318087323E-2</v>
      </c>
      <c r="C20" s="3">
        <v>0.12605042016806722</v>
      </c>
      <c r="D20" s="6">
        <v>4.9382716049382713E-2</v>
      </c>
    </row>
    <row r="21" spans="1:4" x14ac:dyDescent="0.45">
      <c r="A21" s="61" t="s">
        <v>80</v>
      </c>
      <c r="B21" s="23">
        <v>7.4844074844074848E-2</v>
      </c>
      <c r="C21" s="3">
        <v>7.1428571428571425E-2</v>
      </c>
      <c r="D21" s="6">
        <v>7.8189300411522639E-2</v>
      </c>
    </row>
    <row r="22" spans="1:4" x14ac:dyDescent="0.45">
      <c r="A22" s="61" t="s">
        <v>81</v>
      </c>
      <c r="B22" s="23">
        <v>5.4054054054054057E-2</v>
      </c>
      <c r="C22" s="3">
        <v>5.4621848739495799E-2</v>
      </c>
      <c r="D22" s="6">
        <v>5.3497942386831275E-2</v>
      </c>
    </row>
    <row r="23" spans="1:4" x14ac:dyDescent="0.45">
      <c r="A23" s="61" t="s">
        <v>82</v>
      </c>
      <c r="B23" s="23">
        <v>6.4449064449064453E-2</v>
      </c>
      <c r="C23" s="3">
        <v>5.0420168067226892E-2</v>
      </c>
      <c r="D23" s="6">
        <v>7.8189300411522639E-2</v>
      </c>
    </row>
    <row r="24" spans="1:4" x14ac:dyDescent="0.45">
      <c r="A24" s="61" t="s">
        <v>83</v>
      </c>
      <c r="B24" s="23">
        <v>8.9397089397089402E-2</v>
      </c>
      <c r="C24" s="3">
        <v>8.8235294117647065E-2</v>
      </c>
      <c r="D24" s="6">
        <v>9.0534979423868317E-2</v>
      </c>
    </row>
    <row r="25" spans="1:4" x14ac:dyDescent="0.45">
      <c r="A25" s="61" t="s">
        <v>84</v>
      </c>
      <c r="B25" s="23">
        <v>0.10810810810810811</v>
      </c>
      <c r="C25" s="3">
        <v>0.1092436974789916</v>
      </c>
      <c r="D25" s="6">
        <v>0.10699588477366255</v>
      </c>
    </row>
    <row r="26" spans="1:4" x14ac:dyDescent="0.45">
      <c r="A26" s="61" t="s">
        <v>85</v>
      </c>
      <c r="B26" s="23">
        <v>8.7318087318087323E-2</v>
      </c>
      <c r="C26" s="3">
        <v>9.2436974789915971E-2</v>
      </c>
      <c r="D26" s="6">
        <v>8.2304526748971193E-2</v>
      </c>
    </row>
    <row r="27" spans="1:4" x14ac:dyDescent="0.45">
      <c r="A27" s="61" t="s">
        <v>86</v>
      </c>
      <c r="B27" s="23">
        <v>7.9002079002079006E-2</v>
      </c>
      <c r="C27" s="3">
        <v>6.7226890756302518E-2</v>
      </c>
      <c r="D27" s="6">
        <v>9.0534979423868317E-2</v>
      </c>
    </row>
    <row r="28" spans="1:4" x14ac:dyDescent="0.45">
      <c r="A28" s="61" t="s">
        <v>87</v>
      </c>
      <c r="B28" s="23">
        <v>8.7318087318087323E-2</v>
      </c>
      <c r="C28" s="3">
        <v>3.3613445378151259E-2</v>
      </c>
      <c r="D28" s="6">
        <v>0.13991769547325103</v>
      </c>
    </row>
    <row r="29" spans="1:4" x14ac:dyDescent="0.45">
      <c r="A29" s="61" t="s">
        <v>88</v>
      </c>
      <c r="B29" s="23">
        <v>5.1975051975051978E-2</v>
      </c>
      <c r="C29" s="3">
        <v>5.4621848739495799E-2</v>
      </c>
      <c r="D29" s="6">
        <v>4.9382716049382713E-2</v>
      </c>
    </row>
    <row r="30" spans="1:4" x14ac:dyDescent="0.45">
      <c r="A30" s="61" t="s">
        <v>89</v>
      </c>
      <c r="B30" s="23">
        <v>8.9397089397089402E-2</v>
      </c>
      <c r="C30" s="3">
        <v>0.1092436974789916</v>
      </c>
      <c r="D30" s="6">
        <v>6.9958847736625515E-2</v>
      </c>
    </row>
    <row r="31" spans="1:4" x14ac:dyDescent="0.45">
      <c r="A31" s="61" t="s">
        <v>90</v>
      </c>
      <c r="B31" s="23">
        <v>2.4948024948024949E-2</v>
      </c>
      <c r="C31" s="3">
        <v>1.680672268907563E-2</v>
      </c>
      <c r="D31" s="6">
        <v>3.292181069958848E-2</v>
      </c>
    </row>
    <row r="32" spans="1:4" x14ac:dyDescent="0.45">
      <c r="A32" s="61" t="s">
        <v>91</v>
      </c>
      <c r="B32" s="23">
        <v>2.4948024948024949E-2</v>
      </c>
      <c r="C32" s="3">
        <v>4.2016806722689074E-3</v>
      </c>
      <c r="D32" s="6">
        <v>4.5267489711934158E-2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1.0000000000000002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D36"/>
  <sheetViews>
    <sheetView topLeftCell="A4" workbookViewId="0">
      <selection activeCell="D35" sqref="A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812</v>
      </c>
      <c r="C5" s="102"/>
      <c r="D5" s="103"/>
    </row>
    <row r="6" spans="1:4" x14ac:dyDescent="0.45">
      <c r="A6" s="61" t="s">
        <v>0</v>
      </c>
      <c r="B6" s="87" t="s">
        <v>32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9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1.5398152221733392E-2</v>
      </c>
      <c r="C18" s="3">
        <v>2.7385159010600707E-2</v>
      </c>
      <c r="D18" s="6">
        <v>3.5056967572304996E-3</v>
      </c>
    </row>
    <row r="19" spans="1:4" x14ac:dyDescent="0.45">
      <c r="A19" s="61" t="s">
        <v>78</v>
      </c>
      <c r="B19" s="23">
        <v>5.8952925648922128E-2</v>
      </c>
      <c r="C19" s="3">
        <v>7.8621908127208484E-2</v>
      </c>
      <c r="D19" s="6">
        <v>3.9439088518843118E-2</v>
      </c>
    </row>
    <row r="20" spans="1:4" x14ac:dyDescent="0.45">
      <c r="A20" s="61" t="s">
        <v>79</v>
      </c>
      <c r="B20" s="23">
        <v>8.8869335679718428E-2</v>
      </c>
      <c r="C20" s="3">
        <v>9.0106007067137811E-2</v>
      </c>
      <c r="D20" s="6">
        <v>8.7642418930762495E-2</v>
      </c>
    </row>
    <row r="21" spans="1:4" x14ac:dyDescent="0.45">
      <c r="A21" s="61" t="s">
        <v>80</v>
      </c>
      <c r="B21" s="23">
        <v>0.10162780466344039</v>
      </c>
      <c r="C21" s="3">
        <v>9.982332155477032E-2</v>
      </c>
      <c r="D21" s="6">
        <v>0.10341805433829973</v>
      </c>
    </row>
    <row r="22" spans="1:4" x14ac:dyDescent="0.45">
      <c r="A22" s="61" t="s">
        <v>81</v>
      </c>
      <c r="B22" s="23">
        <v>0.10866695996480423</v>
      </c>
      <c r="C22" s="3">
        <v>0.10689045936395759</v>
      </c>
      <c r="D22" s="6">
        <v>0.11042944785276074</v>
      </c>
    </row>
    <row r="23" spans="1:4" x14ac:dyDescent="0.45">
      <c r="A23" s="61" t="s">
        <v>82</v>
      </c>
      <c r="B23" s="23">
        <v>9.9868015838099428E-2</v>
      </c>
      <c r="C23" s="3">
        <v>0.10600706713780919</v>
      </c>
      <c r="D23" s="6">
        <v>9.3777388255915861E-2</v>
      </c>
    </row>
    <row r="24" spans="1:4" x14ac:dyDescent="0.45">
      <c r="A24" s="61" t="s">
        <v>83</v>
      </c>
      <c r="B24" s="23">
        <v>0.10690717113946327</v>
      </c>
      <c r="C24" s="3">
        <v>9.982332155477032E-2</v>
      </c>
      <c r="D24" s="6">
        <v>0.11393514460999124</v>
      </c>
    </row>
    <row r="25" spans="1:4" x14ac:dyDescent="0.45">
      <c r="A25" s="61" t="s">
        <v>84</v>
      </c>
      <c r="B25" s="23">
        <v>0.10558732952045755</v>
      </c>
      <c r="C25" s="3">
        <v>0.10424028268551237</v>
      </c>
      <c r="D25" s="6">
        <v>0.10692375109553023</v>
      </c>
    </row>
    <row r="26" spans="1:4" x14ac:dyDescent="0.45">
      <c r="A26" s="61" t="s">
        <v>85</v>
      </c>
      <c r="B26" s="23">
        <v>8.7989441267047955E-2</v>
      </c>
      <c r="C26" s="3">
        <v>8.5689045936395758E-2</v>
      </c>
      <c r="D26" s="6">
        <v>9.0271691498685358E-2</v>
      </c>
    </row>
    <row r="27" spans="1:4" x14ac:dyDescent="0.45">
      <c r="A27" s="61" t="s">
        <v>86</v>
      </c>
      <c r="B27" s="23">
        <v>9.1948966124065112E-2</v>
      </c>
      <c r="C27" s="3">
        <v>8.5689045936395758E-2</v>
      </c>
      <c r="D27" s="6">
        <v>9.815950920245399E-2</v>
      </c>
    </row>
    <row r="28" spans="1:4" x14ac:dyDescent="0.45">
      <c r="A28" s="61" t="s">
        <v>87</v>
      </c>
      <c r="B28" s="23">
        <v>8.8869335679718428E-2</v>
      </c>
      <c r="C28" s="3">
        <v>8.9222614840989395E-2</v>
      </c>
      <c r="D28" s="6">
        <v>8.851884312007012E-2</v>
      </c>
    </row>
    <row r="29" spans="1:4" x14ac:dyDescent="0.45">
      <c r="A29" s="61" t="s">
        <v>88</v>
      </c>
      <c r="B29" s="23">
        <v>4.0475142982842056E-2</v>
      </c>
      <c r="C29" s="3">
        <v>2.2084805653710248E-2</v>
      </c>
      <c r="D29" s="6">
        <v>5.8720420683610865E-2</v>
      </c>
    </row>
    <row r="30" spans="1:4" x14ac:dyDescent="0.45">
      <c r="A30" s="61" t="s">
        <v>89</v>
      </c>
      <c r="B30" s="23">
        <v>3.5195776506819184E-3</v>
      </c>
      <c r="C30" s="3">
        <v>3.5335689045936395E-3</v>
      </c>
      <c r="D30" s="6">
        <v>3.5056967572304996E-3</v>
      </c>
    </row>
    <row r="31" spans="1:4" x14ac:dyDescent="0.45">
      <c r="A31" s="61" t="s">
        <v>90</v>
      </c>
      <c r="B31" s="23">
        <v>1.3198416190057193E-3</v>
      </c>
      <c r="C31" s="3">
        <v>8.8339222614840988E-4</v>
      </c>
      <c r="D31" s="6">
        <v>1.7528483786152498E-3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0.99999999999999989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2810-A482-493E-AD25-8A407E8382D3}">
  <sheetPr>
    <tabColor rgb="FFFFFF00"/>
  </sheetPr>
  <dimension ref="A1:J36"/>
  <sheetViews>
    <sheetView topLeftCell="A4" workbookViewId="0">
      <selection activeCell="J35" sqref="A10:J35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08">
        <v>813</v>
      </c>
      <c r="C5" s="102"/>
      <c r="D5" s="103"/>
      <c r="E5" s="101">
        <v>813</v>
      </c>
      <c r="F5" s="102"/>
      <c r="G5" s="106"/>
      <c r="H5" s="108">
        <v>813</v>
      </c>
      <c r="I5" s="102"/>
      <c r="J5" s="103"/>
    </row>
    <row r="6" spans="1:10" x14ac:dyDescent="0.45">
      <c r="A6" s="37" t="s">
        <v>0</v>
      </c>
      <c r="B6" s="99" t="s">
        <v>33</v>
      </c>
      <c r="C6" s="88"/>
      <c r="D6" s="89"/>
      <c r="E6" s="87" t="s">
        <v>33</v>
      </c>
      <c r="F6" s="88"/>
      <c r="G6" s="104"/>
      <c r="H6" s="99" t="s">
        <v>33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2</v>
      </c>
      <c r="C9" s="91"/>
      <c r="D9" s="92"/>
      <c r="E9" s="90">
        <v>2</v>
      </c>
      <c r="F9" s="91"/>
      <c r="G9" s="105"/>
      <c r="H9" s="100">
        <v>1</v>
      </c>
      <c r="I9" s="91"/>
      <c r="J9" s="92"/>
    </row>
    <row r="10" spans="1:10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4.2968296365114384E-3</v>
      </c>
      <c r="C12" s="3">
        <v>1.6284750494358496E-3</v>
      </c>
      <c r="D12" s="6">
        <v>6.956521739130435E-3</v>
      </c>
      <c r="E12" s="23">
        <v>3.0168012624152973E-3</v>
      </c>
      <c r="F12" s="3">
        <v>1.0219249349684132E-3</v>
      </c>
      <c r="G12" s="20">
        <v>5.008347245409015E-3</v>
      </c>
      <c r="H12" s="25">
        <v>6.5975494816211122E-3</v>
      </c>
      <c r="I12" s="3">
        <v>3.5030988951765024E-3</v>
      </c>
      <c r="J12" s="6">
        <v>9.6878363832077503E-3</v>
      </c>
    </row>
    <row r="13" spans="1:10" x14ac:dyDescent="0.45">
      <c r="A13" s="37" t="s">
        <v>72</v>
      </c>
      <c r="B13" s="25">
        <v>1.7419579607478808E-4</v>
      </c>
      <c r="C13" s="3">
        <v>2.3263929277654997E-4</v>
      </c>
      <c r="D13" s="6">
        <v>1.1594202898550724E-4</v>
      </c>
      <c r="E13" s="23">
        <v>7.8900956093938546E-4</v>
      </c>
      <c r="F13" s="3">
        <v>7.4321813452248237E-4</v>
      </c>
      <c r="G13" s="20">
        <v>8.3472454090150253E-4</v>
      </c>
      <c r="H13" s="25">
        <v>1.4810825366904537E-3</v>
      </c>
      <c r="I13" s="3">
        <v>1.8862840204796551E-3</v>
      </c>
      <c r="J13" s="6">
        <v>1.076426264800861E-3</v>
      </c>
    </row>
    <row r="14" spans="1:10" x14ac:dyDescent="0.45">
      <c r="A14" s="37" t="s">
        <v>73</v>
      </c>
      <c r="B14" s="25">
        <v>5.806526535826269E-4</v>
      </c>
      <c r="C14" s="3">
        <v>5.8159823194137486E-4</v>
      </c>
      <c r="D14" s="6">
        <v>5.7971014492753622E-4</v>
      </c>
      <c r="E14" s="23">
        <v>4.1771094402673348E-4</v>
      </c>
      <c r="F14" s="3">
        <v>4.6451133407655144E-4</v>
      </c>
      <c r="G14" s="20">
        <v>3.709886848451122E-4</v>
      </c>
      <c r="H14" s="25">
        <v>8.0786320183115663E-4</v>
      </c>
      <c r="I14" s="3">
        <v>5.3893829156561571E-4</v>
      </c>
      <c r="J14" s="6">
        <v>1.076426264800861E-3</v>
      </c>
    </row>
    <row r="15" spans="1:10" x14ac:dyDescent="0.45">
      <c r="A15" s="37" t="s">
        <v>74</v>
      </c>
      <c r="B15" s="25">
        <v>9.8710951109046564E-4</v>
      </c>
      <c r="C15" s="3">
        <v>1.2795161102710248E-3</v>
      </c>
      <c r="D15" s="6">
        <v>6.9565217391304353E-4</v>
      </c>
      <c r="E15" s="23">
        <v>5.1053559825489647E-4</v>
      </c>
      <c r="F15" s="3">
        <v>4.6451133407655144E-4</v>
      </c>
      <c r="G15" s="20">
        <v>5.5648302726766835E-4</v>
      </c>
      <c r="H15" s="25">
        <v>4.0393160091557832E-4</v>
      </c>
      <c r="I15" s="3">
        <v>8.0840743734842356E-4</v>
      </c>
      <c r="J15" s="6">
        <v>0</v>
      </c>
    </row>
    <row r="16" spans="1:10" x14ac:dyDescent="0.45">
      <c r="A16" s="37" t="s">
        <v>75</v>
      </c>
      <c r="B16" s="25">
        <v>1.7419579607478807E-3</v>
      </c>
      <c r="C16" s="3">
        <v>2.2100732813772248E-3</v>
      </c>
      <c r="D16" s="6">
        <v>1.2753623188405797E-3</v>
      </c>
      <c r="E16" s="23">
        <v>8.8183421516754845E-4</v>
      </c>
      <c r="F16" s="3">
        <v>1.1148272017837235E-3</v>
      </c>
      <c r="G16" s="20">
        <v>6.4923019847894638E-4</v>
      </c>
      <c r="H16" s="25">
        <v>1.7503702706341726E-3</v>
      </c>
      <c r="I16" s="3">
        <v>1.8862840204796551E-3</v>
      </c>
      <c r="J16" s="6">
        <v>1.6146393972012918E-3</v>
      </c>
    </row>
    <row r="17" spans="1:10" x14ac:dyDescent="0.45">
      <c r="A17" s="37" t="s">
        <v>76</v>
      </c>
      <c r="B17" s="25">
        <v>2.8451980025548719E-3</v>
      </c>
      <c r="C17" s="3">
        <v>4.1875072699778994E-3</v>
      </c>
      <c r="D17" s="6">
        <v>1.5072463768115941E-3</v>
      </c>
      <c r="E17" s="23">
        <v>1.8100807574491784E-3</v>
      </c>
      <c r="F17" s="3">
        <v>2.787068004459309E-3</v>
      </c>
      <c r="G17" s="20">
        <v>8.3472454090150253E-4</v>
      </c>
      <c r="H17" s="25">
        <v>2.4235896054934699E-3</v>
      </c>
      <c r="I17" s="3">
        <v>4.0420371867421184E-3</v>
      </c>
      <c r="J17" s="6">
        <v>8.0731969860064589E-4</v>
      </c>
    </row>
    <row r="18" spans="1:10" x14ac:dyDescent="0.45">
      <c r="A18" s="37" t="s">
        <v>77</v>
      </c>
      <c r="B18" s="25">
        <v>1.230983625595169E-2</v>
      </c>
      <c r="C18" s="3">
        <v>1.4423636152146098E-2</v>
      </c>
      <c r="D18" s="6">
        <v>1.0202898550724638E-2</v>
      </c>
      <c r="E18" s="23">
        <v>6.1728395061728392E-3</v>
      </c>
      <c r="F18" s="3">
        <v>7.617985878855444E-3</v>
      </c>
      <c r="G18" s="20">
        <v>4.7301057317751805E-3</v>
      </c>
      <c r="H18" s="25">
        <v>7.0014810825366905E-3</v>
      </c>
      <c r="I18" s="3">
        <v>9.431420102398275E-3</v>
      </c>
      <c r="J18" s="6">
        <v>4.5748116254036601E-3</v>
      </c>
    </row>
    <row r="19" spans="1:10" x14ac:dyDescent="0.45">
      <c r="A19" s="37" t="s">
        <v>78</v>
      </c>
      <c r="B19" s="25">
        <v>1.7187318546045754E-2</v>
      </c>
      <c r="C19" s="3">
        <v>1.8378504129347446E-2</v>
      </c>
      <c r="D19" s="6">
        <v>1.6E-2</v>
      </c>
      <c r="E19" s="23">
        <v>1.0303536619326092E-2</v>
      </c>
      <c r="F19" s="3">
        <v>1.2263099219620958E-2</v>
      </c>
      <c r="G19" s="20">
        <v>8.3472454090150246E-3</v>
      </c>
      <c r="H19" s="25">
        <v>1.5887976302679414E-2</v>
      </c>
      <c r="I19" s="3">
        <v>1.5359741309620048E-2</v>
      </c>
      <c r="J19" s="6">
        <v>1.6415500538213133E-2</v>
      </c>
    </row>
    <row r="20" spans="1:10" x14ac:dyDescent="0.45">
      <c r="A20" s="37" t="s">
        <v>79</v>
      </c>
      <c r="B20" s="25">
        <v>2.827778422947393E-2</v>
      </c>
      <c r="C20" s="3">
        <v>3.2336861695940446E-2</v>
      </c>
      <c r="D20" s="6">
        <v>2.4231884057971016E-2</v>
      </c>
      <c r="E20" s="23">
        <v>2.7615334632878491E-2</v>
      </c>
      <c r="F20" s="3">
        <v>3.4280936454849496E-2</v>
      </c>
      <c r="G20" s="20">
        <v>2.0960860693748841E-2</v>
      </c>
      <c r="H20" s="25">
        <v>1.9119429110004041E-2</v>
      </c>
      <c r="I20" s="3">
        <v>2.2096469954190245E-2</v>
      </c>
      <c r="J20" s="6">
        <v>1.6146393972012917E-2</v>
      </c>
    </row>
    <row r="21" spans="1:10" x14ac:dyDescent="0.45">
      <c r="A21" s="37" t="s">
        <v>80</v>
      </c>
      <c r="B21" s="25">
        <v>4.7090930205551038E-2</v>
      </c>
      <c r="C21" s="3">
        <v>5.7578224962196112E-2</v>
      </c>
      <c r="D21" s="6">
        <v>3.6637681159420288E-2</v>
      </c>
      <c r="E21" s="23">
        <v>4.6087440824282927E-2</v>
      </c>
      <c r="F21" s="3">
        <v>5.2118171683389072E-2</v>
      </c>
      <c r="G21" s="20">
        <v>4.006677796327212E-2</v>
      </c>
      <c r="H21" s="25">
        <v>3.1775952605358829E-2</v>
      </c>
      <c r="I21" s="3">
        <v>3.5839396389113445E-2</v>
      </c>
      <c r="J21" s="6">
        <v>2.7717976318622176E-2</v>
      </c>
    </row>
    <row r="22" spans="1:10" x14ac:dyDescent="0.45">
      <c r="A22" s="37" t="s">
        <v>81</v>
      </c>
      <c r="B22" s="25">
        <v>6.0620137034026245E-2</v>
      </c>
      <c r="C22" s="3">
        <v>6.0951494707456089E-2</v>
      </c>
      <c r="D22" s="6">
        <v>6.0289855072463767E-2</v>
      </c>
      <c r="E22" s="23">
        <v>6.1960456697298799E-2</v>
      </c>
      <c r="F22" s="3">
        <v>6.8097361575622448E-2</v>
      </c>
      <c r="G22" s="20">
        <v>5.5833797069189388E-2</v>
      </c>
      <c r="H22" s="25">
        <v>4.7394641174094518E-2</v>
      </c>
      <c r="I22" s="3">
        <v>5.5510644031258424E-2</v>
      </c>
      <c r="J22" s="6">
        <v>3.9289558665231435E-2</v>
      </c>
    </row>
    <row r="23" spans="1:10" x14ac:dyDescent="0.45">
      <c r="A23" s="37" t="s">
        <v>82</v>
      </c>
      <c r="B23" s="25">
        <v>7.740099872256416E-2</v>
      </c>
      <c r="C23" s="3">
        <v>8.1656391764569042E-2</v>
      </c>
      <c r="D23" s="6">
        <v>7.3159420289855073E-2</v>
      </c>
      <c r="E23" s="23">
        <v>8.3588601132460777E-2</v>
      </c>
      <c r="F23" s="3">
        <v>9.0301003344481601E-2</v>
      </c>
      <c r="G23" s="20">
        <v>7.6887404934149514E-2</v>
      </c>
      <c r="H23" s="25">
        <v>6.6514070284098559E-2</v>
      </c>
      <c r="I23" s="3">
        <v>7.1948261924009702E-2</v>
      </c>
      <c r="J23" s="6">
        <v>6.1087190527448869E-2</v>
      </c>
    </row>
    <row r="24" spans="1:10" x14ac:dyDescent="0.45">
      <c r="A24" s="37" t="s">
        <v>83</v>
      </c>
      <c r="B24" s="25">
        <v>8.4775287423063519E-2</v>
      </c>
      <c r="C24" s="3">
        <v>8.5727579388158656E-2</v>
      </c>
      <c r="D24" s="6">
        <v>8.3826086956521745E-2</v>
      </c>
      <c r="E24" s="23">
        <v>9.5052445929638907E-2</v>
      </c>
      <c r="F24" s="3">
        <v>9.8476402824228912E-2</v>
      </c>
      <c r="G24" s="20">
        <v>9.1634205156742726E-2</v>
      </c>
      <c r="H24" s="25">
        <v>9.4654638481217176E-2</v>
      </c>
      <c r="I24" s="3">
        <v>0.10374562112638103</v>
      </c>
      <c r="J24" s="6">
        <v>8.5575888051668464E-2</v>
      </c>
    </row>
    <row r="25" spans="1:10" x14ac:dyDescent="0.45">
      <c r="A25" s="37" t="s">
        <v>84</v>
      </c>
      <c r="B25" s="25">
        <v>8.134943676692602E-2</v>
      </c>
      <c r="C25" s="3">
        <v>8.2121670350122133E-2</v>
      </c>
      <c r="D25" s="6">
        <v>8.0579710144927541E-2</v>
      </c>
      <c r="E25" s="23">
        <v>9.5191682910981151E-2</v>
      </c>
      <c r="F25" s="3">
        <v>9.3645484949832769E-2</v>
      </c>
      <c r="G25" s="20">
        <v>9.6735299573363007E-2</v>
      </c>
      <c r="H25" s="25">
        <v>0.10542614783896594</v>
      </c>
      <c r="I25" s="3">
        <v>0.10482349770951226</v>
      </c>
      <c r="J25" s="6">
        <v>0.10602798708288483</v>
      </c>
    </row>
    <row r="26" spans="1:10" x14ac:dyDescent="0.45">
      <c r="A26" s="37" t="s">
        <v>85</v>
      </c>
      <c r="B26" s="25">
        <v>8.3091394727673906E-2</v>
      </c>
      <c r="C26" s="3">
        <v>8.3866465045946262E-2</v>
      </c>
      <c r="D26" s="6">
        <v>8.2318840579710145E-2</v>
      </c>
      <c r="E26" s="23">
        <v>0.10187505801540889</v>
      </c>
      <c r="F26" s="3">
        <v>0.1028428093645485</v>
      </c>
      <c r="G26" s="20">
        <v>0.10090892227787053</v>
      </c>
      <c r="H26" s="25">
        <v>9.5866433283963909E-2</v>
      </c>
      <c r="I26" s="3">
        <v>9.5931015898679597E-2</v>
      </c>
      <c r="J26" s="6">
        <v>9.5801937567276646E-2</v>
      </c>
    </row>
    <row r="27" spans="1:10" x14ac:dyDescent="0.45">
      <c r="A27" s="37" t="s">
        <v>86</v>
      </c>
      <c r="B27" s="25">
        <v>8.3497851585181748E-2</v>
      </c>
      <c r="C27" s="3">
        <v>8.1772711410957308E-2</v>
      </c>
      <c r="D27" s="6">
        <v>8.5217391304347828E-2</v>
      </c>
      <c r="E27" s="23">
        <v>9.639840341594727E-2</v>
      </c>
      <c r="F27" s="3">
        <v>9.6339650687476769E-2</v>
      </c>
      <c r="G27" s="20">
        <v>9.6457058059729178E-2</v>
      </c>
      <c r="H27" s="25">
        <v>9.7751447421569951E-2</v>
      </c>
      <c r="I27" s="3">
        <v>9.4583670169765557E-2</v>
      </c>
      <c r="J27" s="6">
        <v>0.10091496232508074</v>
      </c>
    </row>
    <row r="28" spans="1:10" x14ac:dyDescent="0.45">
      <c r="A28" s="37" t="s">
        <v>87</v>
      </c>
      <c r="B28" s="25">
        <v>8.4310765300197418E-2</v>
      </c>
      <c r="C28" s="3">
        <v>8.2586948935675239E-2</v>
      </c>
      <c r="D28" s="6">
        <v>8.6028985507246372E-2</v>
      </c>
      <c r="E28" s="23">
        <v>9.4031374733129114E-2</v>
      </c>
      <c r="F28" s="3">
        <v>8.8907469342251952E-2</v>
      </c>
      <c r="G28" s="20">
        <v>9.9146726024856247E-2</v>
      </c>
      <c r="H28" s="25">
        <v>8.3344553655580994E-2</v>
      </c>
      <c r="I28" s="3">
        <v>8.3804904338453251E-2</v>
      </c>
      <c r="J28" s="6">
        <v>8.288482238966631E-2</v>
      </c>
    </row>
    <row r="29" spans="1:10" x14ac:dyDescent="0.45">
      <c r="A29" s="37" t="s">
        <v>88</v>
      </c>
      <c r="B29" s="25">
        <v>7.9839739867611198E-2</v>
      </c>
      <c r="C29" s="3">
        <v>7.8632080958473891E-2</v>
      </c>
      <c r="D29" s="6">
        <v>8.1043478260869564E-2</v>
      </c>
      <c r="E29" s="23">
        <v>7.2960178223336114E-2</v>
      </c>
      <c r="F29" s="3">
        <v>6.623931623931624E-2</v>
      </c>
      <c r="G29" s="20">
        <v>7.9669820070487854E-2</v>
      </c>
      <c r="H29" s="25">
        <v>7.8497374444594051E-2</v>
      </c>
      <c r="I29" s="3">
        <v>7.4912422527620592E-2</v>
      </c>
      <c r="J29" s="6">
        <v>8.207750269106566E-2</v>
      </c>
    </row>
    <row r="30" spans="1:10" x14ac:dyDescent="0.45">
      <c r="A30" s="37" t="s">
        <v>89</v>
      </c>
      <c r="B30" s="25">
        <v>7.1942863778887464E-2</v>
      </c>
      <c r="C30" s="3">
        <v>7.095498429684774E-2</v>
      </c>
      <c r="D30" s="6">
        <v>7.2927536231884055E-2</v>
      </c>
      <c r="E30" s="23">
        <v>5.982548965005105E-2</v>
      </c>
      <c r="F30" s="3">
        <v>5.5834262356001488E-2</v>
      </c>
      <c r="G30" s="20">
        <v>6.38100537933593E-2</v>
      </c>
      <c r="H30" s="25">
        <v>7.2707688164804093E-2</v>
      </c>
      <c r="I30" s="3">
        <v>6.5750471571005123E-2</v>
      </c>
      <c r="J30" s="6">
        <v>7.9655543595263723E-2</v>
      </c>
    </row>
    <row r="31" spans="1:10" x14ac:dyDescent="0.45">
      <c r="A31" s="37" t="s">
        <v>90</v>
      </c>
      <c r="B31" s="25">
        <v>6.2536290790848909E-2</v>
      </c>
      <c r="C31" s="3">
        <v>5.7112946376643013E-2</v>
      </c>
      <c r="D31" s="6">
        <v>6.7942028985507247E-2</v>
      </c>
      <c r="E31" s="23">
        <v>4.6319502459853334E-2</v>
      </c>
      <c r="F31" s="3">
        <v>4.2735042735042736E-2</v>
      </c>
      <c r="G31" s="20">
        <v>4.9897978111667594E-2</v>
      </c>
      <c r="H31" s="25">
        <v>5.3722902921771912E-2</v>
      </c>
      <c r="I31" s="3">
        <v>5.092966855295069E-2</v>
      </c>
      <c r="J31" s="6">
        <v>5.6512378902045211E-2</v>
      </c>
    </row>
    <row r="32" spans="1:10" x14ac:dyDescent="0.45">
      <c r="A32" s="37" t="s">
        <v>91</v>
      </c>
      <c r="B32" s="25">
        <v>4.9297410289165018E-2</v>
      </c>
      <c r="C32" s="3">
        <v>4.5132022798650695E-2</v>
      </c>
      <c r="D32" s="6">
        <v>5.3449275362318839E-2</v>
      </c>
      <c r="E32" s="23">
        <v>3.6062378167641324E-2</v>
      </c>
      <c r="F32" s="3">
        <v>3.2422891118543296E-2</v>
      </c>
      <c r="G32" s="20">
        <v>3.9695789278427006E-2</v>
      </c>
      <c r="H32" s="25">
        <v>4.5913558637404067E-2</v>
      </c>
      <c r="I32" s="3">
        <v>4.1498248450552409E-2</v>
      </c>
      <c r="J32" s="6">
        <v>5.032292787944026E-2</v>
      </c>
    </row>
    <row r="33" spans="1:10" x14ac:dyDescent="0.45">
      <c r="A33" s="37" t="s">
        <v>92</v>
      </c>
      <c r="B33" s="25">
        <v>3.7277900360004647E-2</v>
      </c>
      <c r="C33" s="3">
        <v>3.4546934977317666E-2</v>
      </c>
      <c r="D33" s="6">
        <v>0.04</v>
      </c>
      <c r="E33" s="23">
        <v>3.1142671493548685E-2</v>
      </c>
      <c r="F33" s="3">
        <v>3.0564845782237088E-2</v>
      </c>
      <c r="G33" s="20">
        <v>3.1719532554257093E-2</v>
      </c>
      <c r="H33" s="25">
        <v>3.2987747408105561E-2</v>
      </c>
      <c r="I33" s="3">
        <v>3.1527890056588521E-2</v>
      </c>
      <c r="J33" s="6">
        <v>3.4445640473627553E-2</v>
      </c>
    </row>
    <row r="34" spans="1:10" x14ac:dyDescent="0.45">
      <c r="A34" s="37" t="s">
        <v>93</v>
      </c>
      <c r="B34" s="25">
        <v>1.9335733364301475E-2</v>
      </c>
      <c r="C34" s="3">
        <v>1.6168430847970223E-2</v>
      </c>
      <c r="D34" s="6">
        <v>2.2492753623188404E-2</v>
      </c>
      <c r="E34" s="23">
        <v>1.8750580154088925E-2</v>
      </c>
      <c r="F34" s="3">
        <v>1.4678558156819026E-2</v>
      </c>
      <c r="G34" s="20">
        <v>2.2815804117974403E-2</v>
      </c>
      <c r="H34" s="25">
        <v>2.2620169651272386E-2</v>
      </c>
      <c r="I34" s="3">
        <v>1.9132309350579357E-2</v>
      </c>
      <c r="J34" s="6">
        <v>2.6103336921420882E-2</v>
      </c>
    </row>
    <row r="35" spans="1:10" ht="14.65" thickBot="1" x14ac:dyDescent="0.5">
      <c r="A35" s="38" t="s">
        <v>94</v>
      </c>
      <c r="B35" s="26">
        <v>9.2323771919637677E-3</v>
      </c>
      <c r="C35" s="8">
        <v>5.9323019658020244E-3</v>
      </c>
      <c r="D35" s="9">
        <v>1.2521739130434783E-2</v>
      </c>
      <c r="E35" s="24">
        <v>9.236053095702218E-3</v>
      </c>
      <c r="F35" s="8">
        <v>6.038647342995169E-3</v>
      </c>
      <c r="G35" s="21">
        <v>1.2428120942311259E-2</v>
      </c>
      <c r="H35" s="26">
        <v>1.5349400834791976E-2</v>
      </c>
      <c r="I35" s="8">
        <v>1.0509296685529508E-2</v>
      </c>
      <c r="J35" s="9">
        <v>2.0182992465016147E-2</v>
      </c>
    </row>
    <row r="36" spans="1:10" x14ac:dyDescent="0.45">
      <c r="B36" s="11">
        <f t="shared" ref="B36:J36" si="0">SUM(B12:B35)</f>
        <v>1</v>
      </c>
      <c r="C36" s="11">
        <f t="shared" si="0"/>
        <v>1</v>
      </c>
      <c r="D36" s="11">
        <f t="shared" si="0"/>
        <v>0.99999999999999989</v>
      </c>
      <c r="E36" s="11">
        <f t="shared" si="0"/>
        <v>0.99999999999999978</v>
      </c>
      <c r="F36" s="11">
        <f t="shared" si="0"/>
        <v>1</v>
      </c>
      <c r="G36" s="11">
        <f t="shared" si="0"/>
        <v>0.99999999999999989</v>
      </c>
      <c r="H36" s="11">
        <f t="shared" si="0"/>
        <v>1</v>
      </c>
      <c r="I36" s="11">
        <f t="shared" si="0"/>
        <v>0.99999999999999989</v>
      </c>
      <c r="J36" s="11">
        <f t="shared" si="0"/>
        <v>0.99999999999999978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D36"/>
  <sheetViews>
    <sheetView topLeftCell="A3" workbookViewId="0">
      <selection activeCell="D35" sqref="B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814</v>
      </c>
      <c r="C5" s="102"/>
      <c r="D5" s="103"/>
    </row>
    <row r="6" spans="1:4" x14ac:dyDescent="0.45">
      <c r="A6" s="61" t="s">
        <v>0</v>
      </c>
      <c r="B6" s="87" t="s">
        <v>34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10</v>
      </c>
      <c r="C9" s="91"/>
      <c r="D9" s="92"/>
    </row>
    <row r="10" spans="1:4" x14ac:dyDescent="0.45">
      <c r="A10" s="66"/>
      <c r="B10" s="108" t="s">
        <v>134</v>
      </c>
      <c r="C10" s="102"/>
      <c r="D10" s="103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0</v>
      </c>
      <c r="C12" s="3">
        <v>0</v>
      </c>
      <c r="D12" s="6">
        <v>0</v>
      </c>
    </row>
    <row r="13" spans="1:4" x14ac:dyDescent="0.45">
      <c r="A13" s="61" t="s">
        <v>72</v>
      </c>
      <c r="B13" s="25">
        <v>0</v>
      </c>
      <c r="C13" s="3">
        <v>0</v>
      </c>
      <c r="D13" s="6">
        <v>0</v>
      </c>
    </row>
    <row r="14" spans="1:4" x14ac:dyDescent="0.45">
      <c r="A14" s="61" t="s">
        <v>73</v>
      </c>
      <c r="B14" s="25">
        <v>0</v>
      </c>
      <c r="C14" s="3">
        <v>0</v>
      </c>
      <c r="D14" s="6">
        <v>0</v>
      </c>
    </row>
    <row r="15" spans="1:4" x14ac:dyDescent="0.45">
      <c r="A15" s="61" t="s">
        <v>74</v>
      </c>
      <c r="B15" s="25">
        <v>0</v>
      </c>
      <c r="C15" s="3">
        <v>0</v>
      </c>
      <c r="D15" s="6">
        <v>0</v>
      </c>
    </row>
    <row r="16" spans="1:4" x14ac:dyDescent="0.45">
      <c r="A16" s="61" t="s">
        <v>75</v>
      </c>
      <c r="B16" s="25">
        <v>0</v>
      </c>
      <c r="C16" s="3">
        <v>0</v>
      </c>
      <c r="D16" s="6">
        <v>0</v>
      </c>
    </row>
    <row r="17" spans="1:4" x14ac:dyDescent="0.45">
      <c r="A17" s="61" t="s">
        <v>76</v>
      </c>
      <c r="B17" s="25">
        <v>9.0155066714749373E-5</v>
      </c>
      <c r="C17" s="3">
        <v>1.7869907076483203E-4</v>
      </c>
      <c r="D17" s="6">
        <v>0</v>
      </c>
    </row>
    <row r="18" spans="1:4" x14ac:dyDescent="0.45">
      <c r="A18" s="61" t="s">
        <v>77</v>
      </c>
      <c r="B18" s="25">
        <v>0</v>
      </c>
      <c r="C18" s="3">
        <v>0</v>
      </c>
      <c r="D18" s="6">
        <v>0</v>
      </c>
    </row>
    <row r="19" spans="1:4" x14ac:dyDescent="0.45">
      <c r="A19" s="61" t="s">
        <v>78</v>
      </c>
      <c r="B19" s="25">
        <v>7.7533357374684458E-3</v>
      </c>
      <c r="C19" s="3">
        <v>9.8284488920657616E-3</v>
      </c>
      <c r="D19" s="6">
        <v>5.6404657933042217E-3</v>
      </c>
    </row>
    <row r="20" spans="1:4" x14ac:dyDescent="0.45">
      <c r="A20" s="61" t="s">
        <v>79</v>
      </c>
      <c r="B20" s="25">
        <v>3.4078615218175262E-2</v>
      </c>
      <c r="C20" s="3">
        <v>3.8062902072909223E-2</v>
      </c>
      <c r="D20" s="6">
        <v>3.0021834061135372E-2</v>
      </c>
    </row>
    <row r="21" spans="1:4" x14ac:dyDescent="0.45">
      <c r="A21" s="61" t="s">
        <v>80</v>
      </c>
      <c r="B21" s="25">
        <v>5.0396682293544895E-2</v>
      </c>
      <c r="C21" s="3">
        <v>5.0214438884917799E-2</v>
      </c>
      <c r="D21" s="6">
        <v>5.0582241630276567E-2</v>
      </c>
    </row>
    <row r="22" spans="1:4" x14ac:dyDescent="0.45">
      <c r="A22" s="61" t="s">
        <v>81</v>
      </c>
      <c r="B22" s="25">
        <v>6.2206996033177066E-2</v>
      </c>
      <c r="C22" s="3">
        <v>6.1472480343102216E-2</v>
      </c>
      <c r="D22" s="6">
        <v>6.2954876273653565E-2</v>
      </c>
    </row>
    <row r="23" spans="1:4" x14ac:dyDescent="0.45">
      <c r="A23" s="61" t="s">
        <v>82</v>
      </c>
      <c r="B23" s="25">
        <v>7.5189325640100974E-2</v>
      </c>
      <c r="C23" s="3">
        <v>7.7555396711937091E-2</v>
      </c>
      <c r="D23" s="6">
        <v>7.2780203784570591E-2</v>
      </c>
    </row>
    <row r="24" spans="1:4" x14ac:dyDescent="0.45">
      <c r="A24" s="61" t="s">
        <v>83</v>
      </c>
      <c r="B24" s="25">
        <v>7.8615218175261445E-2</v>
      </c>
      <c r="C24" s="3">
        <v>7.6661901358112933E-2</v>
      </c>
      <c r="D24" s="6">
        <v>8.0604075691411939E-2</v>
      </c>
    </row>
    <row r="25" spans="1:4" x14ac:dyDescent="0.45">
      <c r="A25" s="61" t="s">
        <v>84</v>
      </c>
      <c r="B25" s="25">
        <v>8.6458708979444646E-2</v>
      </c>
      <c r="C25" s="3">
        <v>8.6847748391708363E-2</v>
      </c>
      <c r="D25" s="6">
        <v>8.6062590975254732E-2</v>
      </c>
    </row>
    <row r="26" spans="1:4" x14ac:dyDescent="0.45">
      <c r="A26" s="61" t="s">
        <v>85</v>
      </c>
      <c r="B26" s="25">
        <v>7.9697078975838442E-2</v>
      </c>
      <c r="C26" s="3">
        <v>7.7555396711937091E-2</v>
      </c>
      <c r="D26" s="6">
        <v>8.1877729257641918E-2</v>
      </c>
    </row>
    <row r="27" spans="1:4" x14ac:dyDescent="0.45">
      <c r="A27" s="61" t="s">
        <v>86</v>
      </c>
      <c r="B27" s="25">
        <v>8.8171655247024888E-2</v>
      </c>
      <c r="C27" s="3">
        <v>8.863473909935668E-2</v>
      </c>
      <c r="D27" s="6">
        <v>8.7700145560407575E-2</v>
      </c>
    </row>
    <row r="28" spans="1:4" x14ac:dyDescent="0.45">
      <c r="A28" s="61" t="s">
        <v>87</v>
      </c>
      <c r="B28" s="25">
        <v>0.10142445005409303</v>
      </c>
      <c r="C28" s="3">
        <v>0.10757684060042888</v>
      </c>
      <c r="D28" s="6">
        <v>9.516011644832606E-2</v>
      </c>
    </row>
    <row r="29" spans="1:4" x14ac:dyDescent="0.45">
      <c r="A29" s="61" t="s">
        <v>88</v>
      </c>
      <c r="B29" s="25">
        <v>9.9080418319509561E-2</v>
      </c>
      <c r="C29" s="3">
        <v>9.739099356683345E-2</v>
      </c>
      <c r="D29" s="6">
        <v>0.10080058224163027</v>
      </c>
    </row>
    <row r="30" spans="1:4" x14ac:dyDescent="0.45">
      <c r="A30" s="61" t="s">
        <v>89</v>
      </c>
      <c r="B30" s="25">
        <v>9.826902271907681E-2</v>
      </c>
      <c r="C30" s="3">
        <v>9.2030021443888485E-2</v>
      </c>
      <c r="D30" s="6">
        <v>0.10462154294032024</v>
      </c>
    </row>
    <row r="31" spans="1:4" x14ac:dyDescent="0.45">
      <c r="A31" s="61" t="s">
        <v>90</v>
      </c>
      <c r="B31" s="25">
        <v>8.5016227912008649E-2</v>
      </c>
      <c r="C31" s="3">
        <v>8.2916368834882057E-2</v>
      </c>
      <c r="D31" s="6">
        <v>8.7154294032023294E-2</v>
      </c>
    </row>
    <row r="32" spans="1:4" x14ac:dyDescent="0.45">
      <c r="A32" s="61" t="s">
        <v>91</v>
      </c>
      <c r="B32" s="25">
        <v>4.0479624954922466E-2</v>
      </c>
      <c r="C32" s="3">
        <v>4.2351679771265187E-2</v>
      </c>
      <c r="D32" s="6">
        <v>3.8573508005822418E-2</v>
      </c>
    </row>
    <row r="33" spans="1:4" x14ac:dyDescent="0.45">
      <c r="A33" s="61" t="s">
        <v>92</v>
      </c>
      <c r="B33" s="25">
        <v>1.1810313739632167E-2</v>
      </c>
      <c r="C33" s="3">
        <v>8.3988563259471058E-3</v>
      </c>
      <c r="D33" s="6">
        <v>1.5283842794759825E-2</v>
      </c>
    </row>
    <row r="34" spans="1:4" x14ac:dyDescent="0.45">
      <c r="A34" s="61" t="s">
        <v>93</v>
      </c>
      <c r="B34" s="25">
        <v>1.2621709340064912E-3</v>
      </c>
      <c r="C34" s="3">
        <v>2.3230879199428161E-3</v>
      </c>
      <c r="D34" s="6">
        <v>1.819505094614265E-4</v>
      </c>
    </row>
    <row r="35" spans="1:4" ht="14.65" thickBot="1" x14ac:dyDescent="0.5">
      <c r="A35" s="63" t="s">
        <v>94</v>
      </c>
      <c r="B35" s="26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1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4819-ADC8-4834-A0C9-0317E9F0E5C3}">
  <sheetPr>
    <tabColor rgb="FFFFFF00"/>
  </sheetPr>
  <dimension ref="A1:K36"/>
  <sheetViews>
    <sheetView topLeftCell="A6" workbookViewId="0">
      <selection activeCell="J35" sqref="A10:J35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24">
        <v>815</v>
      </c>
      <c r="C5" s="125"/>
      <c r="D5" s="126"/>
      <c r="E5" s="101">
        <v>815</v>
      </c>
      <c r="F5" s="102"/>
      <c r="G5" s="106"/>
      <c r="H5" s="108">
        <v>815</v>
      </c>
      <c r="I5" s="102"/>
      <c r="J5" s="103"/>
    </row>
    <row r="6" spans="1:10" x14ac:dyDescent="0.45">
      <c r="A6" s="37" t="s">
        <v>0</v>
      </c>
      <c r="B6" s="99" t="s">
        <v>122</v>
      </c>
      <c r="C6" s="88"/>
      <c r="D6" s="89"/>
      <c r="E6" s="87" t="s">
        <v>122</v>
      </c>
      <c r="F6" s="88"/>
      <c r="G6" s="104"/>
      <c r="H6" s="99" t="s">
        <v>122</v>
      </c>
      <c r="I6" s="88"/>
      <c r="J6" s="89"/>
    </row>
    <row r="7" spans="1:10" x14ac:dyDescent="0.45">
      <c r="A7" s="37" t="s">
        <v>54</v>
      </c>
      <c r="B7" s="137" t="s">
        <v>55</v>
      </c>
      <c r="C7" s="85"/>
      <c r="D7" s="86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3</v>
      </c>
      <c r="C9" s="91"/>
      <c r="D9" s="92"/>
      <c r="E9" s="90">
        <v>3</v>
      </c>
      <c r="F9" s="91"/>
      <c r="G9" s="105"/>
      <c r="H9" s="100">
        <v>3</v>
      </c>
      <c r="I9" s="91"/>
      <c r="J9" s="92"/>
    </row>
    <row r="10" spans="1:10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0</v>
      </c>
      <c r="C12" s="3">
        <v>0</v>
      </c>
      <c r="D12" s="6">
        <v>0</v>
      </c>
      <c r="E12" s="23">
        <v>0</v>
      </c>
      <c r="F12" s="3">
        <v>0</v>
      </c>
      <c r="G12" s="20">
        <v>0</v>
      </c>
      <c r="H12" s="25">
        <v>0</v>
      </c>
      <c r="I12" s="3">
        <v>0</v>
      </c>
      <c r="J12" s="6">
        <v>0</v>
      </c>
    </row>
    <row r="13" spans="1:10" x14ac:dyDescent="0.45">
      <c r="A13" s="37" t="s">
        <v>72</v>
      </c>
      <c r="B13" s="25">
        <v>0</v>
      </c>
      <c r="C13" s="3">
        <v>0</v>
      </c>
      <c r="D13" s="6">
        <v>0</v>
      </c>
      <c r="E13" s="23">
        <v>0</v>
      </c>
      <c r="F13" s="3">
        <v>0</v>
      </c>
      <c r="G13" s="20">
        <v>0</v>
      </c>
      <c r="H13" s="25">
        <v>0</v>
      </c>
      <c r="I13" s="3">
        <v>0</v>
      </c>
      <c r="J13" s="6">
        <v>0</v>
      </c>
    </row>
    <row r="14" spans="1:10" x14ac:dyDescent="0.45">
      <c r="A14" s="37" t="s">
        <v>73</v>
      </c>
      <c r="B14" s="25">
        <v>0</v>
      </c>
      <c r="C14" s="3">
        <v>0</v>
      </c>
      <c r="D14" s="6">
        <v>0</v>
      </c>
      <c r="E14" s="23">
        <v>0</v>
      </c>
      <c r="F14" s="3">
        <v>0</v>
      </c>
      <c r="G14" s="20">
        <v>0</v>
      </c>
      <c r="H14" s="25">
        <v>0</v>
      </c>
      <c r="I14" s="3">
        <v>0</v>
      </c>
      <c r="J14" s="6">
        <v>0</v>
      </c>
    </row>
    <row r="15" spans="1:10" x14ac:dyDescent="0.45">
      <c r="A15" s="37" t="s">
        <v>74</v>
      </c>
      <c r="B15" s="25">
        <v>0</v>
      </c>
      <c r="C15" s="3">
        <v>0</v>
      </c>
      <c r="D15" s="6">
        <v>0</v>
      </c>
      <c r="E15" s="23">
        <v>0</v>
      </c>
      <c r="F15" s="3">
        <v>0</v>
      </c>
      <c r="G15" s="20">
        <v>0</v>
      </c>
      <c r="H15" s="25">
        <v>0</v>
      </c>
      <c r="I15" s="3">
        <v>0</v>
      </c>
      <c r="J15" s="6">
        <v>0</v>
      </c>
    </row>
    <row r="16" spans="1:10" x14ac:dyDescent="0.45">
      <c r="A16" s="37" t="s">
        <v>75</v>
      </c>
      <c r="B16" s="25">
        <v>0</v>
      </c>
      <c r="C16" s="3">
        <v>0</v>
      </c>
      <c r="D16" s="6">
        <v>0</v>
      </c>
      <c r="E16" s="23">
        <v>0</v>
      </c>
      <c r="F16" s="3">
        <v>0</v>
      </c>
      <c r="G16" s="20">
        <v>0</v>
      </c>
      <c r="H16" s="25">
        <v>0</v>
      </c>
      <c r="I16" s="3">
        <v>0</v>
      </c>
      <c r="J16" s="6">
        <v>0</v>
      </c>
    </row>
    <row r="17" spans="1:10" x14ac:dyDescent="0.45">
      <c r="A17" s="37" t="s">
        <v>76</v>
      </c>
      <c r="B17" s="25">
        <v>0</v>
      </c>
      <c r="C17" s="3">
        <v>0</v>
      </c>
      <c r="D17" s="6">
        <v>0</v>
      </c>
      <c r="E17" s="23">
        <v>0</v>
      </c>
      <c r="F17" s="3">
        <v>0</v>
      </c>
      <c r="G17" s="20">
        <v>0</v>
      </c>
      <c r="H17" s="25">
        <v>0</v>
      </c>
      <c r="I17" s="3">
        <v>0</v>
      </c>
      <c r="J17" s="6">
        <v>0</v>
      </c>
    </row>
    <row r="18" spans="1:10" x14ac:dyDescent="0.45">
      <c r="A18" s="37" t="s">
        <v>77</v>
      </c>
      <c r="B18" s="25">
        <v>0</v>
      </c>
      <c r="C18" s="3">
        <v>0</v>
      </c>
      <c r="D18" s="6">
        <v>0</v>
      </c>
      <c r="E18" s="23">
        <v>0</v>
      </c>
      <c r="F18" s="3">
        <v>0</v>
      </c>
      <c r="G18" s="20">
        <v>0</v>
      </c>
      <c r="H18" s="25">
        <v>0</v>
      </c>
      <c r="I18" s="3">
        <v>0</v>
      </c>
      <c r="J18" s="6">
        <v>0</v>
      </c>
    </row>
    <row r="19" spans="1:10" x14ac:dyDescent="0.45">
      <c r="A19" s="37" t="s">
        <v>78</v>
      </c>
      <c r="B19" s="25">
        <v>6.6987640169947843E-3</v>
      </c>
      <c r="C19" s="3">
        <v>1.1071058306951192E-2</v>
      </c>
      <c r="D19" s="6">
        <v>2.3959921585711176E-3</v>
      </c>
      <c r="E19" s="23">
        <v>3.0955781631352187E-3</v>
      </c>
      <c r="F19" s="3">
        <v>5.0755296832703471E-3</v>
      </c>
      <c r="G19" s="20">
        <v>1.1252813203300824E-3</v>
      </c>
      <c r="H19" s="25">
        <v>0</v>
      </c>
      <c r="I19" s="3">
        <v>0</v>
      </c>
      <c r="J19" s="6">
        <v>0</v>
      </c>
    </row>
    <row r="20" spans="1:10" x14ac:dyDescent="0.45">
      <c r="A20" s="37" t="s">
        <v>79</v>
      </c>
      <c r="B20" s="25">
        <v>1.551628433070752E-2</v>
      </c>
      <c r="C20" s="3">
        <v>2.442183133431049E-2</v>
      </c>
      <c r="D20" s="6">
        <v>6.7523415377913308E-3</v>
      </c>
      <c r="E20" s="23">
        <v>7.1136838596520431E-3</v>
      </c>
      <c r="F20" s="3">
        <v>1.0869839596490471E-2</v>
      </c>
      <c r="G20" s="20">
        <v>3.3758439609902473E-3</v>
      </c>
      <c r="H20" s="25">
        <v>0</v>
      </c>
      <c r="I20" s="3">
        <v>0</v>
      </c>
      <c r="J20" s="6">
        <v>0</v>
      </c>
    </row>
    <row r="21" spans="1:10" x14ac:dyDescent="0.45">
      <c r="A21" s="37" t="s">
        <v>80</v>
      </c>
      <c r="B21" s="25">
        <v>5.8179495814935957E-2</v>
      </c>
      <c r="C21" s="3">
        <v>6.9268930362605494E-2</v>
      </c>
      <c r="D21" s="6">
        <v>4.7266390764539319E-2</v>
      </c>
      <c r="E21" s="23">
        <v>4.4833173603548757E-2</v>
      </c>
      <c r="F21" s="3">
        <v>5.520831149539232E-2</v>
      </c>
      <c r="G21" s="20">
        <v>3.45086271567892E-2</v>
      </c>
      <c r="H21" s="25">
        <v>1.1274947072263536E-2</v>
      </c>
      <c r="I21" s="3">
        <v>1.4959940201197279E-2</v>
      </c>
      <c r="J21" s="6">
        <v>7.5839653304442039E-3</v>
      </c>
    </row>
    <row r="22" spans="1:10" x14ac:dyDescent="0.45">
      <c r="A22" s="37" t="s">
        <v>81</v>
      </c>
      <c r="B22" s="25">
        <v>7.7956664326138819E-2</v>
      </c>
      <c r="C22" s="3">
        <v>8.3246404459229414E-2</v>
      </c>
      <c r="D22" s="6">
        <v>7.2751034632977565E-2</v>
      </c>
      <c r="E22" s="23">
        <v>8.569625647588508E-2</v>
      </c>
      <c r="F22" s="3">
        <v>0.10094926053344619</v>
      </c>
      <c r="G22" s="20">
        <v>7.0517629407351831E-2</v>
      </c>
      <c r="H22" s="25">
        <v>3.7112532868764841E-2</v>
      </c>
      <c r="I22" s="3">
        <v>4.6582373688526808E-2</v>
      </c>
      <c r="J22" s="6">
        <v>2.76273022751896E-2</v>
      </c>
    </row>
    <row r="23" spans="1:10" x14ac:dyDescent="0.45">
      <c r="A23" s="37" t="s">
        <v>82</v>
      </c>
      <c r="B23" s="25">
        <v>9.7215340507653306E-2</v>
      </c>
      <c r="C23" s="3">
        <v>0.10060525380350022</v>
      </c>
      <c r="D23" s="6">
        <v>9.3879329122195598E-2</v>
      </c>
      <c r="E23" s="23">
        <v>0.10413827114968527</v>
      </c>
      <c r="F23" s="3">
        <v>0.11266922889000223</v>
      </c>
      <c r="G23" s="20">
        <v>9.564891222805702E-2</v>
      </c>
      <c r="H23" s="25">
        <v>0.10768051909940167</v>
      </c>
      <c r="I23" s="3">
        <v>0.12432640241876104</v>
      </c>
      <c r="J23" s="6">
        <v>9.1007583965330444E-2</v>
      </c>
    </row>
    <row r="24" spans="1:10" x14ac:dyDescent="0.45">
      <c r="A24" s="37" t="s">
        <v>83</v>
      </c>
      <c r="B24" s="25">
        <v>0.10260368765124386</v>
      </c>
      <c r="C24" s="3">
        <v>9.9074145820093037E-2</v>
      </c>
      <c r="D24" s="6">
        <v>0.1060771073840122</v>
      </c>
      <c r="E24" s="23">
        <v>0.12752540045014563</v>
      </c>
      <c r="F24" s="3">
        <v>0.12148797775888602</v>
      </c>
      <c r="G24" s="20">
        <v>0.13353338334583645</v>
      </c>
      <c r="H24" s="25">
        <v>0.14574144247587684</v>
      </c>
      <c r="I24" s="3">
        <v>0.1587423634117712</v>
      </c>
      <c r="J24" s="6">
        <v>0.13271939328277357</v>
      </c>
    </row>
    <row r="25" spans="1:10" x14ac:dyDescent="0.45">
      <c r="A25" s="37" t="s">
        <v>84</v>
      </c>
      <c r="B25" s="25">
        <v>0.1067876502817168</v>
      </c>
      <c r="C25" s="3">
        <v>0.11127240071185442</v>
      </c>
      <c r="D25" s="6">
        <v>0.10237421041167502</v>
      </c>
      <c r="E25" s="23">
        <v>0.13898518556930489</v>
      </c>
      <c r="F25" s="3">
        <v>0.137301998508531</v>
      </c>
      <c r="G25" s="20">
        <v>0.1406601650412603</v>
      </c>
      <c r="H25" s="25">
        <v>0.13429461126935732</v>
      </c>
      <c r="I25" s="3">
        <v>0.13262227617105213</v>
      </c>
      <c r="J25" s="6">
        <v>0.13596966413867823</v>
      </c>
    </row>
    <row r="26" spans="1:10" x14ac:dyDescent="0.45">
      <c r="A26" s="37" t="s">
        <v>85</v>
      </c>
      <c r="B26" s="25">
        <v>0.10475679223767052</v>
      </c>
      <c r="C26" s="3">
        <v>0.10319380710335119</v>
      </c>
      <c r="D26" s="6">
        <v>0.1062949248529732</v>
      </c>
      <c r="E26" s="23">
        <v>0.1246267903446813</v>
      </c>
      <c r="F26" s="3">
        <v>0.12434598486368631</v>
      </c>
      <c r="G26" s="20">
        <v>0.12490622655663916</v>
      </c>
      <c r="H26" s="25">
        <v>0.15801881409263574</v>
      </c>
      <c r="I26" s="3">
        <v>0.15893970690767395</v>
      </c>
      <c r="J26" s="6">
        <v>0.15709642470205851</v>
      </c>
    </row>
    <row r="27" spans="1:10" x14ac:dyDescent="0.45">
      <c r="A27" s="37" t="s">
        <v>86</v>
      </c>
      <c r="B27" s="25">
        <v>9.2090806606146478E-2</v>
      </c>
      <c r="C27" s="3">
        <v>9.6028144616066444E-2</v>
      </c>
      <c r="D27" s="6">
        <v>8.8216074929209326E-2</v>
      </c>
      <c r="E27" s="23">
        <v>0.11771861053653204</v>
      </c>
      <c r="F27" s="3">
        <v>0.11614975101538404</v>
      </c>
      <c r="G27" s="20">
        <v>0.11927981995498875</v>
      </c>
      <c r="H27" s="25">
        <v>0.14796289352266984</v>
      </c>
      <c r="I27" s="3">
        <v>0.15074250490333427</v>
      </c>
      <c r="J27" s="6">
        <v>0.14517876489707476</v>
      </c>
    </row>
    <row r="28" spans="1:10" x14ac:dyDescent="0.45">
      <c r="A28" s="37" t="s">
        <v>87</v>
      </c>
      <c r="B28" s="25">
        <v>9.5569018881473677E-2</v>
      </c>
      <c r="C28" s="3">
        <v>8.8653871844033602E-2</v>
      </c>
      <c r="D28" s="6">
        <v>0.10237421041167502</v>
      </c>
      <c r="E28" s="23">
        <v>0.10176419786519063</v>
      </c>
      <c r="F28" s="3">
        <v>0.10037081358648658</v>
      </c>
      <c r="G28" s="20">
        <v>0.10315078769692423</v>
      </c>
      <c r="H28" s="25">
        <v>0.13578427376624222</v>
      </c>
      <c r="I28" s="3">
        <v>0.12694585806720662</v>
      </c>
      <c r="J28" s="6">
        <v>0.14463705308775732</v>
      </c>
    </row>
    <row r="29" spans="1:10" x14ac:dyDescent="0.45">
      <c r="A29" s="37" t="s">
        <v>88</v>
      </c>
      <c r="B29" s="25">
        <v>7.9012969142838535E-2</v>
      </c>
      <c r="C29" s="3">
        <v>7.342389019967159E-2</v>
      </c>
      <c r="D29" s="6">
        <v>8.4513177956872146E-2</v>
      </c>
      <c r="E29" s="23">
        <v>9.7212592554180619E-2</v>
      </c>
      <c r="F29" s="3">
        <v>8.1068141649335373E-2</v>
      </c>
      <c r="G29" s="20">
        <v>0.11327831957989497</v>
      </c>
      <c r="H29" s="25">
        <v>8.8620478434130887E-2</v>
      </c>
      <c r="I29" s="3">
        <v>6.7848927968693129E-2</v>
      </c>
      <c r="J29" s="6">
        <v>0.10942578548212351</v>
      </c>
    </row>
    <row r="30" spans="1:10" x14ac:dyDescent="0.45">
      <c r="A30" s="37" t="s">
        <v>89</v>
      </c>
      <c r="B30" s="25">
        <v>6.6840693326309153E-2</v>
      </c>
      <c r="C30" s="3">
        <v>6.7474961378784865E-2</v>
      </c>
      <c r="D30" s="6">
        <v>6.6216510564147249E-2</v>
      </c>
      <c r="E30" s="23">
        <v>3.7885514823926991E-2</v>
      </c>
      <c r="F30" s="3">
        <v>2.5447815057846834E-2</v>
      </c>
      <c r="G30" s="20">
        <v>5.0262565641410351E-2</v>
      </c>
      <c r="H30" s="25">
        <v>2.9675865650888884E-2</v>
      </c>
      <c r="I30" s="3">
        <v>1.441445299082446E-2</v>
      </c>
      <c r="J30" s="6">
        <v>4.4962080173347782E-2</v>
      </c>
    </row>
    <row r="31" spans="1:10" x14ac:dyDescent="0.45">
      <c r="A31" s="37" t="s">
        <v>90</v>
      </c>
      <c r="B31" s="25">
        <v>5.5713379290434163E-2</v>
      </c>
      <c r="C31" s="3">
        <v>4.9688617077592923E-2</v>
      </c>
      <c r="D31" s="6">
        <v>6.1642343715966018E-2</v>
      </c>
      <c r="E31" s="23">
        <v>8.447219496039193E-3</v>
      </c>
      <c r="F31" s="3">
        <v>8.6433322651460476E-3</v>
      </c>
      <c r="G31" s="20">
        <v>8.2520630157539385E-3</v>
      </c>
      <c r="H31" s="25">
        <v>3.5629857531809042E-3</v>
      </c>
      <c r="I31" s="3">
        <v>3.8751932709591356E-3</v>
      </c>
      <c r="J31" s="6">
        <v>3.2502708559046588E-3</v>
      </c>
    </row>
    <row r="32" spans="1:10" x14ac:dyDescent="0.45">
      <c r="A32" s="37" t="s">
        <v>91</v>
      </c>
      <c r="B32" s="25">
        <v>3.2006767645576639E-2</v>
      </c>
      <c r="C32" s="3">
        <v>2.0041975759972915E-2</v>
      </c>
      <c r="D32" s="6">
        <v>4.3781311261163143E-2</v>
      </c>
      <c r="E32" s="23">
        <v>7.6951984394496066E-4</v>
      </c>
      <c r="F32" s="3">
        <v>4.1201509609621031E-4</v>
      </c>
      <c r="G32" s="20">
        <v>1.1252813203300824E-3</v>
      </c>
      <c r="H32" s="25">
        <v>2.7063599458728013E-4</v>
      </c>
      <c r="I32" s="3">
        <v>0</v>
      </c>
      <c r="J32" s="6">
        <v>5.4171180931744309E-4</v>
      </c>
    </row>
    <row r="33" spans="1:11" x14ac:dyDescent="0.45">
      <c r="A33" s="37" t="s">
        <v>92</v>
      </c>
      <c r="B33" s="25">
        <v>8.5960264375098371E-3</v>
      </c>
      <c r="C33" s="3">
        <v>2.0586996058603604E-3</v>
      </c>
      <c r="D33" s="6">
        <v>1.5029405358309737E-2</v>
      </c>
      <c r="E33" s="23">
        <v>1.8800526414739614E-4</v>
      </c>
      <c r="F33" s="3">
        <v>0</v>
      </c>
      <c r="G33" s="20">
        <v>3.7509377344336085E-4</v>
      </c>
      <c r="H33" s="25">
        <v>0</v>
      </c>
      <c r="I33" s="3">
        <v>0</v>
      </c>
      <c r="J33" s="6">
        <v>0</v>
      </c>
    </row>
    <row r="34" spans="1:11" x14ac:dyDescent="0.45">
      <c r="A34" s="37" t="s">
        <v>93</v>
      </c>
      <c r="B34" s="25">
        <v>4.5565950264996752E-4</v>
      </c>
      <c r="C34" s="3">
        <v>4.7600761612185798E-4</v>
      </c>
      <c r="D34" s="6">
        <v>4.3563493792202136E-4</v>
      </c>
      <c r="E34" s="23">
        <v>0</v>
      </c>
      <c r="F34" s="3">
        <v>0</v>
      </c>
      <c r="G34" s="20">
        <v>0</v>
      </c>
      <c r="H34" s="25">
        <v>0</v>
      </c>
      <c r="I34" s="3">
        <v>0</v>
      </c>
      <c r="J34" s="6">
        <v>0</v>
      </c>
    </row>
    <row r="35" spans="1:11" ht="14.65" thickBot="1" x14ac:dyDescent="0.5">
      <c r="A35" s="38" t="s">
        <v>94</v>
      </c>
      <c r="B35" s="26">
        <v>0</v>
      </c>
      <c r="C35" s="8">
        <v>0</v>
      </c>
      <c r="D35" s="9">
        <v>0</v>
      </c>
      <c r="E35" s="24">
        <v>0</v>
      </c>
      <c r="F35" s="8">
        <v>0</v>
      </c>
      <c r="G35" s="21">
        <v>0</v>
      </c>
      <c r="H35" s="26">
        <v>0</v>
      </c>
      <c r="I35" s="8">
        <v>0</v>
      </c>
      <c r="J35" s="9">
        <v>0</v>
      </c>
    </row>
    <row r="36" spans="1:11" x14ac:dyDescent="0.45">
      <c r="B36" s="11">
        <f t="shared" ref="B36:J36" si="0">SUM(B12:B35)</f>
        <v>0.99999999999999978</v>
      </c>
      <c r="C36" s="11">
        <f t="shared" si="0"/>
        <v>1</v>
      </c>
      <c r="D36" s="11">
        <f t="shared" si="0"/>
        <v>1.0000000000000002</v>
      </c>
      <c r="E36" s="11">
        <f t="shared" si="0"/>
        <v>1</v>
      </c>
      <c r="F36" s="11">
        <f t="shared" si="0"/>
        <v>1</v>
      </c>
      <c r="G36" s="11">
        <f t="shared" si="0"/>
        <v>1.0000000000000002</v>
      </c>
      <c r="H36" s="11">
        <f t="shared" si="0"/>
        <v>1</v>
      </c>
      <c r="I36" s="11">
        <f t="shared" si="0"/>
        <v>0.99999999999999989</v>
      </c>
      <c r="J36" s="11">
        <f t="shared" si="0"/>
        <v>1</v>
      </c>
      <c r="K36" s="11"/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00"/>
  </sheetPr>
  <dimension ref="A1:D36"/>
  <sheetViews>
    <sheetView topLeftCell="A4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816</v>
      </c>
      <c r="C5" s="102"/>
      <c r="D5" s="103"/>
    </row>
    <row r="6" spans="1:4" x14ac:dyDescent="0.45">
      <c r="A6" s="61" t="s">
        <v>0</v>
      </c>
      <c r="B6" s="87" t="s">
        <v>35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4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8.3333333333333332E-3</v>
      </c>
      <c r="C18" s="3">
        <v>1.1111111111111112E-2</v>
      </c>
      <c r="D18" s="6">
        <v>5.5555555555555558E-3</v>
      </c>
    </row>
    <row r="19" spans="1:4" x14ac:dyDescent="0.45">
      <c r="A19" s="61" t="s">
        <v>78</v>
      </c>
      <c r="B19" s="23">
        <v>8.3333333333333329E-2</v>
      </c>
      <c r="C19" s="3">
        <v>0.10555555555555556</v>
      </c>
      <c r="D19" s="6">
        <v>6.1111111111111109E-2</v>
      </c>
    </row>
    <row r="20" spans="1:4" x14ac:dyDescent="0.45">
      <c r="A20" s="61" t="s">
        <v>79</v>
      </c>
      <c r="B20" s="23">
        <v>8.611111111111111E-2</v>
      </c>
      <c r="C20" s="3">
        <v>8.3333333333333329E-2</v>
      </c>
      <c r="D20" s="6">
        <v>8.8888888888888892E-2</v>
      </c>
    </row>
    <row r="21" spans="1:4" x14ac:dyDescent="0.45">
      <c r="A21" s="61" t="s">
        <v>80</v>
      </c>
      <c r="B21" s="23">
        <v>0.10277777777777777</v>
      </c>
      <c r="C21" s="3">
        <v>0.11666666666666667</v>
      </c>
      <c r="D21" s="6">
        <v>8.8888888888888892E-2</v>
      </c>
    </row>
    <row r="22" spans="1:4" x14ac:dyDescent="0.45">
      <c r="A22" s="61" t="s">
        <v>81</v>
      </c>
      <c r="B22" s="23">
        <v>0.12222222222222222</v>
      </c>
      <c r="C22" s="3">
        <v>0.12777777777777777</v>
      </c>
      <c r="D22" s="6">
        <v>0.11666666666666667</v>
      </c>
    </row>
    <row r="23" spans="1:4" x14ac:dyDescent="0.45">
      <c r="A23" s="61" t="s">
        <v>82</v>
      </c>
      <c r="B23" s="23">
        <v>0.10555555555555556</v>
      </c>
      <c r="C23" s="3">
        <v>0.1</v>
      </c>
      <c r="D23" s="6">
        <v>0.1111111111111111</v>
      </c>
    </row>
    <row r="24" spans="1:4" x14ac:dyDescent="0.45">
      <c r="A24" s="61" t="s">
        <v>83</v>
      </c>
      <c r="B24" s="23">
        <v>0.11388888888888889</v>
      </c>
      <c r="C24" s="3">
        <v>0.10555555555555556</v>
      </c>
      <c r="D24" s="6">
        <v>0.12222222222222222</v>
      </c>
    </row>
    <row r="25" spans="1:4" x14ac:dyDescent="0.45">
      <c r="A25" s="61" t="s">
        <v>84</v>
      </c>
      <c r="B25" s="23">
        <v>0.10277777777777777</v>
      </c>
      <c r="C25" s="3">
        <v>0.1</v>
      </c>
      <c r="D25" s="6">
        <v>0.10555555555555556</v>
      </c>
    </row>
    <row r="26" spans="1:4" x14ac:dyDescent="0.45">
      <c r="A26" s="61" t="s">
        <v>85</v>
      </c>
      <c r="B26" s="23">
        <v>6.9444444444444448E-2</v>
      </c>
      <c r="C26" s="3">
        <v>7.2222222222222215E-2</v>
      </c>
      <c r="D26" s="6">
        <v>6.6666666666666666E-2</v>
      </c>
    </row>
    <row r="27" spans="1:4" x14ac:dyDescent="0.45">
      <c r="A27" s="61" t="s">
        <v>86</v>
      </c>
      <c r="B27" s="23">
        <v>8.0555555555555561E-2</v>
      </c>
      <c r="C27" s="3">
        <v>7.7777777777777779E-2</v>
      </c>
      <c r="D27" s="6">
        <v>8.3333333333333329E-2</v>
      </c>
    </row>
    <row r="28" spans="1:4" x14ac:dyDescent="0.45">
      <c r="A28" s="61" t="s">
        <v>87</v>
      </c>
      <c r="B28" s="23">
        <v>8.0555555555555561E-2</v>
      </c>
      <c r="C28" s="3">
        <v>7.2222222222222215E-2</v>
      </c>
      <c r="D28" s="6">
        <v>8.8888888888888892E-2</v>
      </c>
    </row>
    <row r="29" spans="1:4" x14ac:dyDescent="0.45">
      <c r="A29" s="61" t="s">
        <v>88</v>
      </c>
      <c r="B29" s="23">
        <v>4.1666666666666664E-2</v>
      </c>
      <c r="C29" s="3">
        <v>2.7777777777777776E-2</v>
      </c>
      <c r="D29" s="6">
        <v>5.5555555555555552E-2</v>
      </c>
    </row>
    <row r="30" spans="1:4" x14ac:dyDescent="0.45">
      <c r="A30" s="61" t="s">
        <v>89</v>
      </c>
      <c r="B30" s="23">
        <v>2.7777777777777779E-3</v>
      </c>
      <c r="C30" s="3">
        <v>0</v>
      </c>
      <c r="D30" s="6">
        <v>5.5555555555555558E-3</v>
      </c>
    </row>
    <row r="31" spans="1:4" x14ac:dyDescent="0.45">
      <c r="A31" s="61" t="s">
        <v>90</v>
      </c>
      <c r="B31" s="23">
        <v>0</v>
      </c>
      <c r="C31" s="3">
        <v>0</v>
      </c>
      <c r="D31" s="6">
        <v>0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0.99999999999999989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CEB2-60A0-41B3-92BB-08F19E0A23AF}">
  <sheetPr>
    <tabColor rgb="FFFFFF00"/>
  </sheetPr>
  <dimension ref="A1:G108"/>
  <sheetViews>
    <sheetView workbookViewId="0">
      <selection activeCell="M8" sqref="M8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x14ac:dyDescent="0.45">
      <c r="A3" s="99" t="s">
        <v>157</v>
      </c>
      <c r="B3" s="88"/>
      <c r="C3" s="88"/>
      <c r="D3" s="88"/>
      <c r="E3" s="88"/>
      <c r="F3" s="88"/>
      <c r="G3" s="89"/>
    </row>
    <row r="4" spans="1:7" ht="14.65" thickBot="1" x14ac:dyDescent="0.5">
      <c r="A4" s="100"/>
      <c r="B4" s="91"/>
      <c r="C4" s="91"/>
      <c r="D4" s="91"/>
      <c r="E4" s="91"/>
      <c r="F4" s="91"/>
      <c r="G4" s="92"/>
    </row>
    <row r="5" spans="1:7" x14ac:dyDescent="0.45">
      <c r="A5" s="36" t="s">
        <v>68</v>
      </c>
      <c r="B5" s="108">
        <v>820</v>
      </c>
      <c r="C5" s="102"/>
      <c r="D5" s="103"/>
      <c r="E5" s="101">
        <v>820</v>
      </c>
      <c r="F5" s="102"/>
      <c r="G5" s="103"/>
    </row>
    <row r="6" spans="1:7" x14ac:dyDescent="0.45">
      <c r="A6" s="37" t="s">
        <v>0</v>
      </c>
      <c r="B6" s="99" t="s">
        <v>130</v>
      </c>
      <c r="C6" s="88"/>
      <c r="D6" s="89"/>
      <c r="E6" s="87" t="s">
        <v>130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89"/>
    </row>
    <row r="9" spans="1:7" ht="14.65" thickBot="1" x14ac:dyDescent="0.5">
      <c r="A9" s="38" t="s">
        <v>64</v>
      </c>
      <c r="B9" s="100">
        <v>23</v>
      </c>
      <c r="C9" s="91"/>
      <c r="D9" s="92"/>
      <c r="E9" s="90">
        <v>1</v>
      </c>
      <c r="F9" s="91"/>
      <c r="G9" s="92"/>
    </row>
    <row r="10" spans="1:7" x14ac:dyDescent="0.45">
      <c r="A10" s="39"/>
      <c r="B10" s="137" t="s">
        <v>134</v>
      </c>
      <c r="C10" s="85"/>
      <c r="D10" s="86"/>
      <c r="E10" s="136" t="s">
        <v>134</v>
      </c>
      <c r="F10" s="85"/>
      <c r="G10" s="86"/>
    </row>
    <row r="11" spans="1:7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168</v>
      </c>
      <c r="B12" s="25">
        <v>6.2603957932235799E-4</v>
      </c>
      <c r="C12" s="3">
        <v>5.2416565796299501E-4</v>
      </c>
      <c r="D12" s="6">
        <v>7.4719041156467774E-4</v>
      </c>
      <c r="E12" s="45">
        <v>4.3117437062450735E-3</v>
      </c>
      <c r="F12" s="32">
        <v>6.5210303227910009E-4</v>
      </c>
      <c r="G12" s="34">
        <v>7.9376067192763848E-3</v>
      </c>
    </row>
    <row r="13" spans="1:7" x14ac:dyDescent="0.45">
      <c r="A13" s="37" t="s">
        <v>169</v>
      </c>
      <c r="B13" s="25">
        <v>5.8674839233559912E-4</v>
      </c>
      <c r="C13" s="3">
        <v>5.1335811862355174E-4</v>
      </c>
      <c r="D13" s="6">
        <v>6.2520014028881194E-4</v>
      </c>
      <c r="E13" s="45">
        <v>2.5731373730817379E-3</v>
      </c>
      <c r="F13" s="32">
        <v>3.7263030415948578E-4</v>
      </c>
      <c r="G13" s="34">
        <v>4.7533342563108585E-3</v>
      </c>
    </row>
    <row r="14" spans="1:7" x14ac:dyDescent="0.45">
      <c r="A14" s="37" t="s">
        <v>170</v>
      </c>
      <c r="B14" s="25">
        <v>5.7627074247246343E-4</v>
      </c>
      <c r="C14" s="3">
        <v>5.3497319730243817E-4</v>
      </c>
      <c r="D14" s="6">
        <v>5.9978550043967324E-4</v>
      </c>
      <c r="E14" s="45">
        <v>9.27256711020446E-5</v>
      </c>
      <c r="F14" s="32">
        <v>0</v>
      </c>
      <c r="G14" s="34">
        <v>1.8459550509945083E-4</v>
      </c>
    </row>
    <row r="15" spans="1:7" x14ac:dyDescent="0.45">
      <c r="A15" s="37" t="s">
        <v>171</v>
      </c>
      <c r="B15" s="25">
        <v>5.9198721726716702E-4</v>
      </c>
      <c r="C15" s="3">
        <v>5.565882759813246E-4</v>
      </c>
      <c r="D15" s="6">
        <v>6.4044892419829521E-4</v>
      </c>
      <c r="E15" s="45">
        <v>9.27256711020446E-5</v>
      </c>
      <c r="F15" s="32">
        <v>4.6578788019935723E-5</v>
      </c>
      <c r="G15" s="34">
        <v>1.3844662882458813E-4</v>
      </c>
    </row>
    <row r="16" spans="1:7" x14ac:dyDescent="0.45">
      <c r="A16" s="37" t="s">
        <v>172</v>
      </c>
      <c r="B16" s="25">
        <v>6.155619294592223E-4</v>
      </c>
      <c r="C16" s="3">
        <v>5.890108939996542E-4</v>
      </c>
      <c r="D16" s="6">
        <v>6.7602941998708935E-4</v>
      </c>
      <c r="E16" s="45">
        <v>4.1726551995920069E-4</v>
      </c>
      <c r="F16" s="32">
        <v>6.0552424425916441E-4</v>
      </c>
      <c r="G16" s="34">
        <v>2.3074438137431354E-4</v>
      </c>
    </row>
    <row r="17" spans="1:7" x14ac:dyDescent="0.45">
      <c r="A17" s="37" t="s">
        <v>173</v>
      </c>
      <c r="B17" s="25">
        <v>4.6573153641638184E-3</v>
      </c>
      <c r="C17" s="3">
        <v>4.3608421234653293E-3</v>
      </c>
      <c r="D17" s="6">
        <v>4.9558547705820461E-3</v>
      </c>
      <c r="E17" s="45">
        <v>9.9680096434697938E-4</v>
      </c>
      <c r="F17" s="32">
        <v>1.5371000046578787E-3</v>
      </c>
      <c r="G17" s="34">
        <v>4.6148876274862709E-4</v>
      </c>
    </row>
    <row r="18" spans="1:7" x14ac:dyDescent="0.45">
      <c r="A18" s="37" t="s">
        <v>174</v>
      </c>
      <c r="B18" s="25">
        <v>6.4751876154178619E-3</v>
      </c>
      <c r="C18" s="3">
        <v>8.2569600553346022E-3</v>
      </c>
      <c r="D18" s="6">
        <v>4.7932010755475582E-3</v>
      </c>
      <c r="E18" s="45">
        <v>1.8313320042653808E-3</v>
      </c>
      <c r="F18" s="32">
        <v>2.7481484931762075E-3</v>
      </c>
      <c r="G18" s="34">
        <v>9.2297752549725417E-4</v>
      </c>
    </row>
    <row r="19" spans="1:7" x14ac:dyDescent="0.45">
      <c r="A19" s="37" t="s">
        <v>175</v>
      </c>
      <c r="B19" s="25">
        <v>1.4857307505926421E-2</v>
      </c>
      <c r="C19" s="3">
        <v>1.7913496455127097E-2</v>
      </c>
      <c r="D19" s="6">
        <v>1.1980461224883983E-2</v>
      </c>
      <c r="E19" s="45">
        <v>5.1694561639389867E-3</v>
      </c>
      <c r="F19" s="32">
        <v>7.9649727514090086E-3</v>
      </c>
      <c r="G19" s="34">
        <v>2.3997415662928606E-3</v>
      </c>
    </row>
    <row r="20" spans="1:7" x14ac:dyDescent="0.45">
      <c r="A20" s="37" t="s">
        <v>176</v>
      </c>
      <c r="B20" s="25">
        <v>2.2961769675061885E-2</v>
      </c>
      <c r="C20" s="3">
        <v>2.8326560608680617E-2</v>
      </c>
      <c r="D20" s="6">
        <v>1.7912238165672955E-2</v>
      </c>
      <c r="E20" s="45">
        <v>1.0640270758959618E-2</v>
      </c>
      <c r="F20" s="32">
        <v>1.5557315198658531E-2</v>
      </c>
      <c r="G20" s="34">
        <v>5.7686095343578384E-3</v>
      </c>
    </row>
    <row r="21" spans="1:7" x14ac:dyDescent="0.45">
      <c r="A21" s="37" t="s">
        <v>177</v>
      </c>
      <c r="B21" s="25">
        <v>3.8887797467028147E-2</v>
      </c>
      <c r="C21" s="3">
        <v>4.7337022306761199E-2</v>
      </c>
      <c r="D21" s="6">
        <v>3.0934699624371623E-2</v>
      </c>
      <c r="E21" s="45">
        <v>2.6681811859613335E-2</v>
      </c>
      <c r="F21" s="32">
        <v>4.1408542549722857E-2</v>
      </c>
      <c r="G21" s="34">
        <v>1.209100558401403E-2</v>
      </c>
    </row>
    <row r="22" spans="1:7" x14ac:dyDescent="0.45">
      <c r="A22" s="37" t="s">
        <v>178</v>
      </c>
      <c r="B22" s="25">
        <v>5.9602111246447424E-2</v>
      </c>
      <c r="C22" s="3">
        <v>6.8606259726785412E-2</v>
      </c>
      <c r="D22" s="6">
        <v>5.1169835872255855E-2</v>
      </c>
      <c r="E22" s="45">
        <v>5.3688163568083827E-2</v>
      </c>
      <c r="F22" s="32">
        <v>7.9509991150030282E-2</v>
      </c>
      <c r="G22" s="34">
        <v>2.810466565139139E-2</v>
      </c>
    </row>
    <row r="23" spans="1:7" x14ac:dyDescent="0.45">
      <c r="A23" s="37" t="s">
        <v>179</v>
      </c>
      <c r="B23" s="25">
        <v>7.7120741817610305E-2</v>
      </c>
      <c r="C23" s="3">
        <v>8.3201841604703439E-2</v>
      </c>
      <c r="D23" s="6">
        <v>7.1389723336230601E-2</v>
      </c>
      <c r="E23" s="45">
        <v>7.6730492836941902E-2</v>
      </c>
      <c r="F23" s="32">
        <v>9.702361544552611E-2</v>
      </c>
      <c r="G23" s="34">
        <v>5.6624671189256542E-2</v>
      </c>
    </row>
    <row r="24" spans="1:7" x14ac:dyDescent="0.45">
      <c r="A24" s="37" t="s">
        <v>180</v>
      </c>
      <c r="B24" s="25">
        <v>9.0464028918313621E-2</v>
      </c>
      <c r="C24" s="3">
        <v>9.4711871001210438E-2</v>
      </c>
      <c r="D24" s="6">
        <v>8.6455521838800023E-2</v>
      </c>
      <c r="E24" s="45">
        <v>8.8066206129166866E-2</v>
      </c>
      <c r="F24" s="32">
        <v>0.10251991243187852</v>
      </c>
      <c r="G24" s="34">
        <v>7.3745904287230601E-2</v>
      </c>
    </row>
    <row r="25" spans="1:7" x14ac:dyDescent="0.45">
      <c r="A25" s="37" t="s">
        <v>181</v>
      </c>
      <c r="B25" s="25">
        <v>8.6126281874975438E-2</v>
      </c>
      <c r="C25" s="3">
        <v>8.5006700674390451E-2</v>
      </c>
      <c r="D25" s="6">
        <v>8.7121385402847459E-2</v>
      </c>
      <c r="E25" s="45">
        <v>9.8289211368167276E-2</v>
      </c>
      <c r="F25" s="32">
        <v>0.10368438213237692</v>
      </c>
      <c r="G25" s="34">
        <v>9.2943836817573497E-2</v>
      </c>
    </row>
    <row r="26" spans="1:7" x14ac:dyDescent="0.45">
      <c r="A26" s="37" t="s">
        <v>182</v>
      </c>
      <c r="B26" s="25">
        <v>7.9763728995586286E-2</v>
      </c>
      <c r="C26" s="3">
        <v>7.6122903337368153E-2</v>
      </c>
      <c r="D26" s="6">
        <v>8.3177033298261135E-2</v>
      </c>
      <c r="E26" s="45">
        <v>9.8961472483657095E-2</v>
      </c>
      <c r="F26" s="32">
        <v>0.10224043970375891</v>
      </c>
      <c r="G26" s="34">
        <v>9.5712769394065256E-2</v>
      </c>
    </row>
    <row r="27" spans="1:7" x14ac:dyDescent="0.45">
      <c r="A27" s="37" t="s">
        <v>183</v>
      </c>
      <c r="B27" s="25">
        <v>7.9365578300787137E-2</v>
      </c>
      <c r="C27" s="3">
        <v>7.7787264395642403E-2</v>
      </c>
      <c r="D27" s="6">
        <v>8.0838886432140364E-2</v>
      </c>
      <c r="E27" s="45">
        <v>9.7246047568269281E-2</v>
      </c>
      <c r="F27" s="32">
        <v>9.2552051795612281E-2</v>
      </c>
      <c r="G27" s="34">
        <v>0.10189671881489686</v>
      </c>
    </row>
    <row r="28" spans="1:7" x14ac:dyDescent="0.45">
      <c r="A28" s="37" t="s">
        <v>184</v>
      </c>
      <c r="B28" s="25">
        <v>8.264770212041439E-2</v>
      </c>
      <c r="C28" s="3">
        <v>8.1850899187273035E-2</v>
      </c>
      <c r="D28" s="6">
        <v>8.3385433345024074E-2</v>
      </c>
      <c r="E28" s="45">
        <v>9.6249246603922298E-2</v>
      </c>
      <c r="F28" s="32">
        <v>8.7707857841538964E-2</v>
      </c>
      <c r="G28" s="34">
        <v>0.10471180026766348</v>
      </c>
    </row>
    <row r="29" spans="1:7" x14ac:dyDescent="0.45">
      <c r="A29" s="37" t="s">
        <v>185</v>
      </c>
      <c r="B29" s="25">
        <v>8.3643078857412276E-2</v>
      </c>
      <c r="C29" s="3">
        <v>8.3018113435932905E-2</v>
      </c>
      <c r="D29" s="6">
        <v>8.4173287180347361E-2</v>
      </c>
      <c r="E29" s="45">
        <v>8.9642542537901618E-2</v>
      </c>
      <c r="F29" s="32">
        <v>8.356234570776469E-2</v>
      </c>
      <c r="G29" s="34">
        <v>9.5666620517790388E-2</v>
      </c>
    </row>
    <row r="30" spans="1:7" x14ac:dyDescent="0.45">
      <c r="A30" s="37" t="s">
        <v>186</v>
      </c>
      <c r="B30" s="25">
        <v>7.3330451979620973E-2</v>
      </c>
      <c r="C30" s="3">
        <v>7.2967101850250737E-2</v>
      </c>
      <c r="D30" s="6">
        <v>7.3661792138743604E-2</v>
      </c>
      <c r="E30" s="45">
        <v>7.9257267374472626E-2</v>
      </c>
      <c r="F30" s="32">
        <v>6.944897293772416E-2</v>
      </c>
      <c r="G30" s="34">
        <v>8.8975033457935296E-2</v>
      </c>
    </row>
    <row r="31" spans="1:7" x14ac:dyDescent="0.45">
      <c r="A31" s="37" t="s">
        <v>187</v>
      </c>
      <c r="B31" s="25">
        <v>6.4091784212801067E-2</v>
      </c>
      <c r="C31" s="3">
        <v>6.2456769842642229E-2</v>
      </c>
      <c r="D31" s="6">
        <v>6.5620600090476114E-2</v>
      </c>
      <c r="E31" s="45">
        <v>6.5371598126941446E-2</v>
      </c>
      <c r="F31" s="32">
        <v>5.626717592808235E-2</v>
      </c>
      <c r="G31" s="34">
        <v>7.4391988555078684E-2</v>
      </c>
    </row>
    <row r="32" spans="1:7" x14ac:dyDescent="0.45">
      <c r="A32" s="37" t="s">
        <v>188</v>
      </c>
      <c r="B32" s="25">
        <v>5.0347727004832817E-2</v>
      </c>
      <c r="C32" s="3">
        <v>4.1101072107902474E-2</v>
      </c>
      <c r="D32" s="6">
        <v>5.9038208369549199E-2</v>
      </c>
      <c r="E32" s="45">
        <v>4.6525105475450877E-2</v>
      </c>
      <c r="F32" s="32">
        <v>2.9484372816619312E-2</v>
      </c>
      <c r="G32" s="34">
        <v>6.3408556001661356E-2</v>
      </c>
    </row>
    <row r="33" spans="1:7" x14ac:dyDescent="0.45">
      <c r="A33" s="37" t="s">
        <v>189</v>
      </c>
      <c r="B33" s="25">
        <v>3.0283027516927952E-2</v>
      </c>
      <c r="C33" s="3">
        <v>1.7546040117586027E-2</v>
      </c>
      <c r="D33" s="6">
        <v>4.2259463141147827E-2</v>
      </c>
      <c r="E33" s="45">
        <v>3.1967175112429878E-2</v>
      </c>
      <c r="F33" s="32">
        <v>1.3181797009641808E-2</v>
      </c>
      <c r="G33" s="34">
        <v>5.0579168397249526E-2</v>
      </c>
    </row>
    <row r="34" spans="1:7" x14ac:dyDescent="0.45">
      <c r="A34" s="37" t="s">
        <v>190</v>
      </c>
      <c r="B34" s="25">
        <v>3.475436459602111E-2</v>
      </c>
      <c r="C34" s="3">
        <v>3.1125713297596402E-2</v>
      </c>
      <c r="D34" s="6">
        <v>3.8264281756863222E-2</v>
      </c>
      <c r="E34" s="45">
        <v>1.8058324447123186E-2</v>
      </c>
      <c r="F34" s="32">
        <v>8.8033909357678516E-3</v>
      </c>
      <c r="G34" s="34">
        <v>2.7227837002168999E-2</v>
      </c>
    </row>
    <row r="35" spans="1:7" ht="14.65" thickBot="1" x14ac:dyDescent="0.5">
      <c r="A35" s="38" t="s">
        <v>191</v>
      </c>
      <c r="B35" s="26">
        <v>1.7623407069794244E-2</v>
      </c>
      <c r="C35" s="8">
        <v>1.5584471727477088E-2</v>
      </c>
      <c r="D35" s="9">
        <v>1.9579438539776454E-2</v>
      </c>
      <c r="E35" s="46">
        <v>7.1398766748574346E-3</v>
      </c>
      <c r="F35" s="33">
        <v>3.1207787973356934E-3</v>
      </c>
      <c r="G35" s="35">
        <v>1.1121879182241912E-2</v>
      </c>
    </row>
    <row r="36" spans="1:7" x14ac:dyDescent="0.45">
      <c r="B36" s="11">
        <f>SUM(B12:B35)</f>
        <v>1</v>
      </c>
      <c r="C36" s="11">
        <f t="shared" ref="C36:G36" si="0">SUM(C12:C35)</f>
        <v>1</v>
      </c>
      <c r="D36" s="11">
        <f t="shared" si="0"/>
        <v>1</v>
      </c>
      <c r="E36" s="11">
        <f t="shared" si="0"/>
        <v>0.99999999999999989</v>
      </c>
      <c r="F36" s="11">
        <f t="shared" si="0"/>
        <v>1.0000000000000002</v>
      </c>
      <c r="G36" s="11">
        <f t="shared" si="0"/>
        <v>1</v>
      </c>
    </row>
    <row r="108" spans="2:4" x14ac:dyDescent="0.45">
      <c r="B108" s="1">
        <f>SUM(B12:B107)</f>
        <v>2</v>
      </c>
      <c r="C108" s="1">
        <f t="shared" ref="C108:D108" si="1">SUM(C12:C107)</f>
        <v>2</v>
      </c>
      <c r="D108" s="1">
        <f t="shared" si="1"/>
        <v>2</v>
      </c>
    </row>
  </sheetData>
  <mergeCells count="15">
    <mergeCell ref="B6:D6"/>
    <mergeCell ref="E6:G6"/>
    <mergeCell ref="A1:G2"/>
    <mergeCell ref="A3:G3"/>
    <mergeCell ref="A4:G4"/>
    <mergeCell ref="B5:D5"/>
    <mergeCell ref="E5:G5"/>
    <mergeCell ref="B10:D10"/>
    <mergeCell ref="E10:G10"/>
    <mergeCell ref="B7:D7"/>
    <mergeCell ref="E7:G7"/>
    <mergeCell ref="B8:D8"/>
    <mergeCell ref="E8:G8"/>
    <mergeCell ref="B9:D9"/>
    <mergeCell ref="E9:G9"/>
  </mergeCells>
  <pageMargins left="0.7" right="0.7" top="0.75" bottom="0.75" header="0.3" footer="0.3"/>
  <pageSetup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2681-3C20-4400-BEAF-239456A7755B}">
  <sheetPr>
    <tabColor rgb="FFFFFF00"/>
  </sheetPr>
  <dimension ref="A1:G107"/>
  <sheetViews>
    <sheetView topLeftCell="A3" workbookViewId="0">
      <selection activeCell="M8" sqref="M8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ht="14.65" thickBot="1" x14ac:dyDescent="0.5">
      <c r="A3" s="100" t="s">
        <v>157</v>
      </c>
      <c r="B3" s="91"/>
      <c r="C3" s="91"/>
      <c r="D3" s="91"/>
      <c r="E3" s="91"/>
      <c r="F3" s="91"/>
      <c r="G3" s="92"/>
    </row>
    <row r="4" spans="1:7" x14ac:dyDescent="0.45">
      <c r="A4" s="36" t="s">
        <v>68</v>
      </c>
      <c r="B4" s="108">
        <v>821</v>
      </c>
      <c r="C4" s="102"/>
      <c r="D4" s="103"/>
      <c r="E4" s="101">
        <v>821</v>
      </c>
      <c r="F4" s="102"/>
      <c r="G4" s="103"/>
    </row>
    <row r="5" spans="1:7" x14ac:dyDescent="0.45">
      <c r="A5" s="37" t="s">
        <v>0</v>
      </c>
      <c r="B5" s="99" t="s">
        <v>129</v>
      </c>
      <c r="C5" s="88"/>
      <c r="D5" s="89"/>
      <c r="E5" s="87" t="s">
        <v>129</v>
      </c>
      <c r="F5" s="88"/>
      <c r="G5" s="89"/>
    </row>
    <row r="6" spans="1:7" x14ac:dyDescent="0.45">
      <c r="A6" s="37" t="s">
        <v>98</v>
      </c>
      <c r="B6" s="99" t="s">
        <v>131</v>
      </c>
      <c r="C6" s="88"/>
      <c r="D6" s="89"/>
      <c r="E6" s="87" t="s">
        <v>132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5</v>
      </c>
      <c r="C9" s="91"/>
      <c r="D9" s="92"/>
      <c r="E9" s="90">
        <v>3</v>
      </c>
      <c r="F9" s="91"/>
      <c r="G9" s="92"/>
    </row>
    <row r="10" spans="1:7" x14ac:dyDescent="0.45">
      <c r="A10" s="39"/>
      <c r="B10" s="137" t="s">
        <v>135</v>
      </c>
      <c r="C10" s="85"/>
      <c r="D10" s="86"/>
      <c r="E10" s="136" t="s">
        <v>135</v>
      </c>
      <c r="F10" s="85"/>
      <c r="G10" s="86"/>
    </row>
    <row r="11" spans="1:7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168</v>
      </c>
      <c r="B12" s="47"/>
      <c r="C12" s="32"/>
      <c r="D12" s="34"/>
      <c r="E12" s="45"/>
      <c r="F12" s="32"/>
      <c r="G12" s="34"/>
    </row>
    <row r="13" spans="1:7" x14ac:dyDescent="0.45">
      <c r="A13" s="37" t="s">
        <v>169</v>
      </c>
      <c r="B13" s="47"/>
      <c r="C13" s="32"/>
      <c r="D13" s="34"/>
      <c r="E13" s="45"/>
      <c r="F13" s="32"/>
      <c r="G13" s="34"/>
    </row>
    <row r="14" spans="1:7" x14ac:dyDescent="0.45">
      <c r="A14" s="37" t="s">
        <v>170</v>
      </c>
      <c r="B14" s="47"/>
      <c r="C14" s="32"/>
      <c r="D14" s="34"/>
      <c r="E14" s="45"/>
      <c r="F14" s="32"/>
      <c r="G14" s="34"/>
    </row>
    <row r="15" spans="1:7" x14ac:dyDescent="0.45">
      <c r="A15" s="37" t="s">
        <v>171</v>
      </c>
      <c r="B15" s="47"/>
      <c r="C15" s="32"/>
      <c r="D15" s="34"/>
      <c r="E15" s="45"/>
      <c r="F15" s="32"/>
      <c r="G15" s="34"/>
    </row>
    <row r="16" spans="1:7" x14ac:dyDescent="0.45">
      <c r="A16" s="37" t="s">
        <v>172</v>
      </c>
      <c r="B16" s="47"/>
      <c r="C16" s="32"/>
      <c r="D16" s="34"/>
      <c r="E16" s="45"/>
      <c r="F16" s="32"/>
      <c r="G16" s="34"/>
    </row>
    <row r="17" spans="1:7" x14ac:dyDescent="0.45">
      <c r="A17" s="37" t="s">
        <v>173</v>
      </c>
      <c r="B17" s="47"/>
      <c r="C17" s="32"/>
      <c r="D17" s="34"/>
      <c r="E17" s="45"/>
      <c r="F17" s="32"/>
      <c r="G17" s="34"/>
    </row>
    <row r="18" spans="1:7" x14ac:dyDescent="0.45">
      <c r="A18" s="37" t="s">
        <v>174</v>
      </c>
      <c r="B18" s="47">
        <v>8.8013642114527744E-3</v>
      </c>
      <c r="C18" s="32"/>
      <c r="D18" s="34"/>
      <c r="E18" s="45">
        <v>1.2543494136346063E-2</v>
      </c>
      <c r="F18" s="32"/>
      <c r="G18" s="34"/>
    </row>
    <row r="19" spans="1:7" x14ac:dyDescent="0.45">
      <c r="A19" s="37" t="s">
        <v>175</v>
      </c>
      <c r="B19" s="47">
        <v>1.9363001265196106E-2</v>
      </c>
      <c r="C19" s="32"/>
      <c r="D19" s="34"/>
      <c r="E19" s="45">
        <v>2.2810258172601915E-2</v>
      </c>
      <c r="F19" s="32"/>
      <c r="G19" s="34"/>
    </row>
    <row r="20" spans="1:7" x14ac:dyDescent="0.45">
      <c r="A20" s="37" t="s">
        <v>176</v>
      </c>
      <c r="B20" s="47">
        <v>3.4655371582595303E-2</v>
      </c>
      <c r="C20" s="32"/>
      <c r="D20" s="34"/>
      <c r="E20" s="45">
        <v>3.8017096954336527E-2</v>
      </c>
      <c r="F20" s="32"/>
      <c r="G20" s="34"/>
    </row>
    <row r="21" spans="1:7" x14ac:dyDescent="0.45">
      <c r="A21" s="37" t="s">
        <v>177</v>
      </c>
      <c r="B21" s="47">
        <v>5.297321084768139E-2</v>
      </c>
      <c r="C21" s="32"/>
      <c r="D21" s="34"/>
      <c r="E21" s="45">
        <v>4.9529618969887022E-2</v>
      </c>
      <c r="F21" s="32"/>
      <c r="G21" s="34"/>
    </row>
    <row r="22" spans="1:7" x14ac:dyDescent="0.45">
      <c r="A22" s="37" t="s">
        <v>178</v>
      </c>
      <c r="B22" s="47">
        <v>6.6010231585895821E-2</v>
      </c>
      <c r="C22" s="32"/>
      <c r="D22" s="34"/>
      <c r="E22" s="45">
        <v>6.5810387044117014E-2</v>
      </c>
      <c r="F22" s="32"/>
      <c r="G22" s="34"/>
    </row>
    <row r="23" spans="1:7" x14ac:dyDescent="0.45">
      <c r="A23" s="37" t="s">
        <v>179</v>
      </c>
      <c r="B23" s="47">
        <v>7.2446229165520654E-2</v>
      </c>
      <c r="C23" s="32"/>
      <c r="D23" s="34"/>
      <c r="E23" s="45">
        <v>8.0759482795652732E-2</v>
      </c>
      <c r="F23" s="32"/>
      <c r="G23" s="34"/>
    </row>
    <row r="24" spans="1:7" x14ac:dyDescent="0.45">
      <c r="A24" s="37" t="s">
        <v>180</v>
      </c>
      <c r="B24" s="47">
        <v>8.0972550745365537E-2</v>
      </c>
      <c r="C24" s="32"/>
      <c r="D24" s="34"/>
      <c r="E24" s="45">
        <v>8.8577688045019115E-2</v>
      </c>
      <c r="F24" s="32"/>
      <c r="G24" s="34"/>
    </row>
    <row r="25" spans="1:7" x14ac:dyDescent="0.45">
      <c r="A25" s="37" t="s">
        <v>181</v>
      </c>
      <c r="B25" s="47">
        <v>7.8387150008251277E-2</v>
      </c>
      <c r="C25" s="32"/>
      <c r="D25" s="34"/>
      <c r="E25" s="45">
        <v>7.8396838352162893E-2</v>
      </c>
      <c r="F25" s="32"/>
      <c r="G25" s="34"/>
    </row>
    <row r="26" spans="1:7" x14ac:dyDescent="0.45">
      <c r="A26" s="37" t="s">
        <v>182</v>
      </c>
      <c r="B26" s="47">
        <v>6.9255734638869026E-2</v>
      </c>
      <c r="C26" s="32"/>
      <c r="D26" s="34"/>
      <c r="E26" s="45">
        <v>7.1824391082091155E-2</v>
      </c>
      <c r="F26" s="32"/>
      <c r="G26" s="34"/>
    </row>
    <row r="27" spans="1:7" x14ac:dyDescent="0.45">
      <c r="A27" s="37" t="s">
        <v>183</v>
      </c>
      <c r="B27" s="47">
        <v>7.0245888112657459E-2</v>
      </c>
      <c r="C27" s="32"/>
      <c r="D27" s="34"/>
      <c r="E27" s="45">
        <v>7.281240603118691E-2</v>
      </c>
      <c r="F27" s="32"/>
      <c r="G27" s="34"/>
    </row>
    <row r="28" spans="1:7" x14ac:dyDescent="0.45">
      <c r="A28" s="37" t="s">
        <v>184</v>
      </c>
      <c r="B28" s="47">
        <v>7.1236041586445906E-2</v>
      </c>
      <c r="C28" s="32"/>
      <c r="D28" s="34"/>
      <c r="E28" s="45">
        <v>8.2434812491945536E-2</v>
      </c>
      <c r="F28" s="32"/>
      <c r="G28" s="34"/>
    </row>
    <row r="29" spans="1:7" x14ac:dyDescent="0.45">
      <c r="A29" s="37" t="s">
        <v>185</v>
      </c>
      <c r="B29" s="47">
        <v>8.0862533692722366E-2</v>
      </c>
      <c r="C29" s="32"/>
      <c r="D29" s="34"/>
      <c r="E29" s="45">
        <v>8.7031229863825763E-2</v>
      </c>
      <c r="F29" s="32"/>
      <c r="G29" s="34"/>
    </row>
    <row r="30" spans="1:7" x14ac:dyDescent="0.45">
      <c r="A30" s="37" t="s">
        <v>186</v>
      </c>
      <c r="B30" s="47">
        <v>8.3943011166730849E-2</v>
      </c>
      <c r="C30" s="32"/>
      <c r="D30" s="34"/>
      <c r="E30" s="45">
        <v>8.1661583401348853E-2</v>
      </c>
      <c r="F30" s="32"/>
      <c r="G30" s="34"/>
    </row>
    <row r="31" spans="1:7" x14ac:dyDescent="0.45">
      <c r="A31" s="37" t="s">
        <v>187</v>
      </c>
      <c r="B31" s="47">
        <v>7.8332141481929699E-2</v>
      </c>
      <c r="C31" s="32"/>
      <c r="D31" s="34"/>
      <c r="E31" s="45">
        <v>6.8044159972507415E-2</v>
      </c>
      <c r="F31" s="32"/>
      <c r="G31" s="34"/>
    </row>
    <row r="32" spans="1:7" x14ac:dyDescent="0.45">
      <c r="A32" s="37" t="s">
        <v>188</v>
      </c>
      <c r="B32" s="47">
        <v>7.5251664007921229E-2</v>
      </c>
      <c r="C32" s="32"/>
      <c r="D32" s="34"/>
      <c r="E32" s="45">
        <v>6.0913269470338073E-2</v>
      </c>
      <c r="F32" s="32"/>
      <c r="G32" s="34"/>
    </row>
    <row r="33" spans="1:7" x14ac:dyDescent="0.45">
      <c r="A33" s="37" t="s">
        <v>189</v>
      </c>
      <c r="B33" s="47">
        <v>5.7263875900764621E-2</v>
      </c>
      <c r="C33" s="32"/>
      <c r="D33" s="34"/>
      <c r="E33" s="45">
        <v>3.883328321663302E-2</v>
      </c>
      <c r="F33" s="32"/>
      <c r="G33" s="34"/>
    </row>
    <row r="34" spans="1:7" x14ac:dyDescent="0.45">
      <c r="A34" s="37" t="s">
        <v>190</v>
      </c>
      <c r="B34" s="47"/>
      <c r="C34" s="32"/>
      <c r="D34" s="34"/>
      <c r="E34" s="45"/>
      <c r="F34" s="32"/>
      <c r="G34" s="34"/>
    </row>
    <row r="35" spans="1:7" ht="14.65" thickBot="1" x14ac:dyDescent="0.5">
      <c r="A35" s="38" t="s">
        <v>191</v>
      </c>
      <c r="B35" s="48"/>
      <c r="C35" s="33"/>
      <c r="D35" s="35"/>
      <c r="E35" s="46"/>
      <c r="F35" s="33"/>
      <c r="G35" s="35"/>
    </row>
    <row r="36" spans="1:7" x14ac:dyDescent="0.45">
      <c r="B36" s="11">
        <f>SUM(B12:B35)</f>
        <v>1</v>
      </c>
      <c r="E36" s="11">
        <f>SUM(E12:E35)</f>
        <v>0.99999999999999989</v>
      </c>
    </row>
    <row r="107" spans="2:4" x14ac:dyDescent="0.45">
      <c r="B107" s="1">
        <f>SUM(B11:B106)</f>
        <v>2</v>
      </c>
      <c r="C107" s="1">
        <f t="shared" ref="C107:D107" si="0">SUM(C11:C106)</f>
        <v>0</v>
      </c>
      <c r="D107" s="1">
        <f t="shared" si="0"/>
        <v>0</v>
      </c>
    </row>
  </sheetData>
  <mergeCells count="16">
    <mergeCell ref="B5:D5"/>
    <mergeCell ref="E5:G5"/>
    <mergeCell ref="A1:G2"/>
    <mergeCell ref="A3:G3"/>
    <mergeCell ref="B4:D4"/>
    <mergeCell ref="E4:G4"/>
    <mergeCell ref="B10:D10"/>
    <mergeCell ref="E10:G10"/>
    <mergeCell ref="B6:D6"/>
    <mergeCell ref="E6:G6"/>
    <mergeCell ref="B7:D7"/>
    <mergeCell ref="E7:G7"/>
    <mergeCell ref="B8:D8"/>
    <mergeCell ref="E8:G8"/>
    <mergeCell ref="B9:D9"/>
    <mergeCell ref="E9:G9"/>
  </mergeCells>
  <pageMargins left="0.7" right="0.7" top="0.75" bottom="0.75" header="0.3" footer="0.3"/>
  <pageSetup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D8A6-655A-4063-B256-19AFA0B493D4}">
  <sheetPr>
    <tabColor rgb="FFFFFF00"/>
  </sheetPr>
  <dimension ref="A1:D108"/>
  <sheetViews>
    <sheetView topLeftCell="A3" workbookViewId="0">
      <selection activeCell="G24" sqref="G24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822</v>
      </c>
      <c r="C5" s="102"/>
      <c r="D5" s="103"/>
    </row>
    <row r="6" spans="1:4" x14ac:dyDescent="0.45">
      <c r="A6" s="61" t="s">
        <v>0</v>
      </c>
      <c r="B6" s="87" t="s">
        <v>133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2</v>
      </c>
      <c r="C9" s="91"/>
      <c r="D9" s="92"/>
    </row>
    <row r="10" spans="1:4" x14ac:dyDescent="0.45">
      <c r="A10" s="66"/>
      <c r="B10" s="136" t="s">
        <v>135</v>
      </c>
      <c r="C10" s="85"/>
      <c r="D10" s="8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168</v>
      </c>
      <c r="B12" s="45"/>
      <c r="C12" s="32"/>
      <c r="D12" s="34"/>
    </row>
    <row r="13" spans="1:4" x14ac:dyDescent="0.45">
      <c r="A13" s="61" t="s">
        <v>169</v>
      </c>
      <c r="B13" s="45"/>
      <c r="C13" s="32"/>
      <c r="D13" s="34"/>
    </row>
    <row r="14" spans="1:4" x14ac:dyDescent="0.45">
      <c r="A14" s="61" t="s">
        <v>170</v>
      </c>
      <c r="B14" s="45"/>
      <c r="C14" s="32"/>
      <c r="D14" s="34"/>
    </row>
    <row r="15" spans="1:4" x14ac:dyDescent="0.45">
      <c r="A15" s="61" t="s">
        <v>171</v>
      </c>
      <c r="B15" s="45"/>
      <c r="C15" s="32"/>
      <c r="D15" s="34"/>
    </row>
    <row r="16" spans="1:4" x14ac:dyDescent="0.45">
      <c r="A16" s="61" t="s">
        <v>172</v>
      </c>
      <c r="B16" s="45"/>
      <c r="C16" s="32"/>
      <c r="D16" s="34"/>
    </row>
    <row r="17" spans="1:4" x14ac:dyDescent="0.45">
      <c r="A17" s="61" t="s">
        <v>173</v>
      </c>
      <c r="B17" s="45"/>
      <c r="C17" s="32"/>
      <c r="D17" s="34"/>
    </row>
    <row r="18" spans="1:4" x14ac:dyDescent="0.45">
      <c r="A18" s="61" t="s">
        <v>174</v>
      </c>
      <c r="B18" s="45">
        <v>4.6118370484242886E-3</v>
      </c>
      <c r="C18" s="32"/>
      <c r="D18" s="34"/>
    </row>
    <row r="19" spans="1:4" x14ac:dyDescent="0.45">
      <c r="A19" s="61" t="s">
        <v>175</v>
      </c>
      <c r="B19" s="45">
        <v>2.2290545734050732E-2</v>
      </c>
      <c r="C19" s="32"/>
      <c r="D19" s="34"/>
    </row>
    <row r="20" spans="1:4" x14ac:dyDescent="0.45">
      <c r="A20" s="61" t="s">
        <v>176</v>
      </c>
      <c r="B20" s="45">
        <v>4.5349730976172176E-2</v>
      </c>
      <c r="C20" s="32"/>
      <c r="D20" s="34"/>
    </row>
    <row r="21" spans="1:4" x14ac:dyDescent="0.45">
      <c r="A21" s="61" t="s">
        <v>177</v>
      </c>
      <c r="B21" s="45">
        <v>5.764796310530361E-2</v>
      </c>
      <c r="C21" s="32"/>
      <c r="D21" s="34"/>
    </row>
    <row r="22" spans="1:4" x14ac:dyDescent="0.45">
      <c r="A22" s="61" t="s">
        <v>178</v>
      </c>
      <c r="B22" s="45">
        <v>6.5334358186010758E-2</v>
      </c>
      <c r="C22" s="32"/>
      <c r="D22" s="34"/>
    </row>
    <row r="23" spans="1:4" x14ac:dyDescent="0.45">
      <c r="A23" s="61" t="s">
        <v>179</v>
      </c>
      <c r="B23" s="45">
        <v>6.3028439661798621E-2</v>
      </c>
      <c r="C23" s="32"/>
      <c r="D23" s="34"/>
    </row>
    <row r="24" spans="1:4" x14ac:dyDescent="0.45">
      <c r="A24" s="61" t="s">
        <v>180</v>
      </c>
      <c r="B24" s="45">
        <v>6.1491160645657184E-2</v>
      </c>
      <c r="C24" s="32"/>
      <c r="D24" s="34"/>
    </row>
    <row r="25" spans="1:4" x14ac:dyDescent="0.45">
      <c r="A25" s="61" t="s">
        <v>181</v>
      </c>
      <c r="B25" s="45">
        <v>6.9177555726364331E-2</v>
      </c>
      <c r="C25" s="32"/>
      <c r="D25" s="34"/>
    </row>
    <row r="26" spans="1:4" x14ac:dyDescent="0.45">
      <c r="A26" s="61" t="s">
        <v>182</v>
      </c>
      <c r="B26" s="45">
        <v>6.1491160645657184E-2</v>
      </c>
      <c r="C26" s="32"/>
      <c r="D26" s="34"/>
    </row>
    <row r="27" spans="1:4" x14ac:dyDescent="0.45">
      <c r="A27" s="61" t="s">
        <v>183</v>
      </c>
      <c r="B27" s="45">
        <v>7.3789392774788617E-2</v>
      </c>
      <c r="C27" s="32"/>
      <c r="D27" s="34"/>
    </row>
    <row r="28" spans="1:4" x14ac:dyDescent="0.45">
      <c r="A28" s="61" t="s">
        <v>184</v>
      </c>
      <c r="B28" s="45">
        <v>7.9938508839354341E-2</v>
      </c>
      <c r="C28" s="32"/>
      <c r="D28" s="34"/>
    </row>
    <row r="29" spans="1:4" x14ac:dyDescent="0.45">
      <c r="A29" s="61" t="s">
        <v>185</v>
      </c>
      <c r="B29" s="45">
        <v>7.9938508839354341E-2</v>
      </c>
      <c r="C29" s="32"/>
      <c r="D29" s="34"/>
    </row>
    <row r="30" spans="1:4" x14ac:dyDescent="0.45">
      <c r="A30" s="61" t="s">
        <v>186</v>
      </c>
      <c r="B30" s="45">
        <v>7.9938508839354341E-2</v>
      </c>
      <c r="C30" s="32"/>
      <c r="D30" s="34"/>
    </row>
    <row r="31" spans="1:4" x14ac:dyDescent="0.45">
      <c r="A31" s="61" t="s">
        <v>187</v>
      </c>
      <c r="B31" s="45">
        <v>8.4550345887778627E-2</v>
      </c>
      <c r="C31" s="32"/>
      <c r="D31" s="34"/>
    </row>
    <row r="32" spans="1:4" x14ac:dyDescent="0.45">
      <c r="A32" s="61" t="s">
        <v>188</v>
      </c>
      <c r="B32" s="45">
        <v>8.4550345887778627E-2</v>
      </c>
      <c r="C32" s="32"/>
      <c r="D32" s="34"/>
    </row>
    <row r="33" spans="1:4" x14ac:dyDescent="0.45">
      <c r="A33" s="61" t="s">
        <v>189</v>
      </c>
      <c r="B33" s="45">
        <v>6.6871637202152195E-2</v>
      </c>
      <c r="C33" s="32"/>
      <c r="D33" s="34"/>
    </row>
    <row r="34" spans="1:4" x14ac:dyDescent="0.45">
      <c r="A34" s="61" t="s">
        <v>190</v>
      </c>
      <c r="B34" s="45"/>
      <c r="C34" s="32"/>
      <c r="D34" s="34"/>
    </row>
    <row r="35" spans="1:4" ht="14.65" thickBot="1" x14ac:dyDescent="0.5">
      <c r="A35" s="63" t="s">
        <v>191</v>
      </c>
      <c r="B35" s="46"/>
      <c r="C35" s="33"/>
      <c r="D35" s="35"/>
    </row>
    <row r="36" spans="1:4" x14ac:dyDescent="0.45">
      <c r="B36" s="11">
        <f>SUM(B12:B35)</f>
        <v>1.0000000000000002</v>
      </c>
    </row>
    <row r="108" spans="2:4" x14ac:dyDescent="0.45">
      <c r="B108" s="1">
        <f>SUM(B12:B107)</f>
        <v>2.0000000000000004</v>
      </c>
      <c r="C108" s="1">
        <f t="shared" ref="C108:D108" si="0">SUM(C12:C107)</f>
        <v>0</v>
      </c>
      <c r="D108" s="1">
        <f t="shared" si="0"/>
        <v>0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00"/>
  </sheetPr>
  <dimension ref="A1:D36"/>
  <sheetViews>
    <sheetView workbookViewId="0">
      <selection activeCell="I27" sqref="I27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840</v>
      </c>
      <c r="C5" s="102"/>
      <c r="D5" s="103"/>
    </row>
    <row r="6" spans="1:4" x14ac:dyDescent="0.45">
      <c r="A6" s="61" t="s">
        <v>0</v>
      </c>
      <c r="B6" s="87" t="s">
        <v>36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6</v>
      </c>
      <c r="C9" s="91"/>
      <c r="D9" s="92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7.2211821342604973E-3</v>
      </c>
      <c r="C18" s="3">
        <v>1.2150026413100899E-2</v>
      </c>
      <c r="D18" s="6">
        <v>2.1668472372697724E-3</v>
      </c>
    </row>
    <row r="19" spans="1:4" x14ac:dyDescent="0.45">
      <c r="A19" s="61" t="s">
        <v>78</v>
      </c>
      <c r="B19" s="23">
        <v>5.6967103503610589E-2</v>
      </c>
      <c r="C19" s="3">
        <v>8.980454305335446E-2</v>
      </c>
      <c r="D19" s="6">
        <v>2.3293607800650054E-2</v>
      </c>
    </row>
    <row r="20" spans="1:4" x14ac:dyDescent="0.45">
      <c r="A20" s="61" t="s">
        <v>79</v>
      </c>
      <c r="B20" s="23">
        <v>8.3177320139074612E-2</v>
      </c>
      <c r="C20" s="3">
        <v>0.11304807184363444</v>
      </c>
      <c r="D20" s="6">
        <v>5.254604550379198E-2</v>
      </c>
    </row>
    <row r="21" spans="1:4" x14ac:dyDescent="0.45">
      <c r="A21" s="61" t="s">
        <v>80</v>
      </c>
      <c r="B21" s="23">
        <v>7.5153784434340731E-2</v>
      </c>
      <c r="C21" s="3">
        <v>8.0824088748019024E-2</v>
      </c>
      <c r="D21" s="6">
        <v>6.9339111592632716E-2</v>
      </c>
    </row>
    <row r="22" spans="1:4" x14ac:dyDescent="0.45">
      <c r="A22" s="61" t="s">
        <v>81</v>
      </c>
      <c r="B22" s="23">
        <v>8.1840064188285641E-2</v>
      </c>
      <c r="C22" s="3">
        <v>9.2445853143159007E-2</v>
      </c>
      <c r="D22" s="6">
        <v>7.0964247020585056E-2</v>
      </c>
    </row>
    <row r="23" spans="1:4" x14ac:dyDescent="0.45">
      <c r="A23" s="61" t="s">
        <v>82</v>
      </c>
      <c r="B23" s="23">
        <v>8.8258892752072743E-2</v>
      </c>
      <c r="C23" s="3">
        <v>8.6106708927628103E-2</v>
      </c>
      <c r="D23" s="6">
        <v>9.0465872156012997E-2</v>
      </c>
    </row>
    <row r="24" spans="1:4" x14ac:dyDescent="0.45">
      <c r="A24" s="61" t="s">
        <v>83</v>
      </c>
      <c r="B24" s="23">
        <v>9.4410270125702064E-2</v>
      </c>
      <c r="C24" s="3">
        <v>8.5050184891706293E-2</v>
      </c>
      <c r="D24" s="6">
        <v>0.10400866738894908</v>
      </c>
    </row>
    <row r="25" spans="1:4" x14ac:dyDescent="0.45">
      <c r="A25" s="61" t="s">
        <v>84</v>
      </c>
      <c r="B25" s="23">
        <v>9.4677721315859859E-2</v>
      </c>
      <c r="C25" s="3">
        <v>9.5087163232963554E-2</v>
      </c>
      <c r="D25" s="6">
        <v>9.425785482123511E-2</v>
      </c>
    </row>
    <row r="26" spans="1:4" x14ac:dyDescent="0.45">
      <c r="A26" s="61" t="s">
        <v>85</v>
      </c>
      <c r="B26" s="23">
        <v>0.10029419630917358</v>
      </c>
      <c r="C26" s="3">
        <v>9.0861067089276285E-2</v>
      </c>
      <c r="D26" s="6">
        <v>0.10996749729144095</v>
      </c>
    </row>
    <row r="27" spans="1:4" x14ac:dyDescent="0.45">
      <c r="A27" s="61" t="s">
        <v>86</v>
      </c>
      <c r="B27" s="23">
        <v>8.3177320139074612E-2</v>
      </c>
      <c r="C27" s="3">
        <v>6.8674062334918115E-2</v>
      </c>
      <c r="D27" s="6">
        <v>9.8049837486457209E-2</v>
      </c>
    </row>
    <row r="28" spans="1:4" x14ac:dyDescent="0.45">
      <c r="A28" s="61" t="s">
        <v>87</v>
      </c>
      <c r="B28" s="23">
        <v>7.4083979673709555E-2</v>
      </c>
      <c r="C28" s="3">
        <v>7.3428420496566296E-2</v>
      </c>
      <c r="D28" s="6">
        <v>7.4756229685807155E-2</v>
      </c>
    </row>
    <row r="29" spans="1:4" x14ac:dyDescent="0.45">
      <c r="A29" s="61" t="s">
        <v>88</v>
      </c>
      <c r="B29" s="23">
        <v>8.1840064188285641E-2</v>
      </c>
      <c r="C29" s="3">
        <v>6.3919704173269948E-2</v>
      </c>
      <c r="D29" s="6">
        <v>0.10021668472372698</v>
      </c>
    </row>
    <row r="30" spans="1:4" x14ac:dyDescent="0.45">
      <c r="A30" s="61" t="s">
        <v>89</v>
      </c>
      <c r="B30" s="23">
        <v>5.0013372559507892E-2</v>
      </c>
      <c r="C30" s="3">
        <v>3.0639197041732701E-2</v>
      </c>
      <c r="D30" s="6">
        <v>6.9880823401950162E-2</v>
      </c>
    </row>
    <row r="31" spans="1:4" x14ac:dyDescent="0.45">
      <c r="A31" s="61" t="s">
        <v>90</v>
      </c>
      <c r="B31" s="23">
        <v>2.8884728537041989E-2</v>
      </c>
      <c r="C31" s="3">
        <v>1.7960908610670893E-2</v>
      </c>
      <c r="D31" s="6">
        <v>4.008667388949079E-2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</sheetPr>
  <dimension ref="A1:D36"/>
  <sheetViews>
    <sheetView topLeftCell="A4" workbookViewId="0">
      <selection activeCell="D35" sqref="A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841</v>
      </c>
      <c r="C5" s="102"/>
      <c r="D5" s="103"/>
    </row>
    <row r="6" spans="1:4" x14ac:dyDescent="0.45">
      <c r="A6" s="61" t="s">
        <v>0</v>
      </c>
      <c r="B6" s="87" t="s">
        <v>37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14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1.9138755980861243E-2</v>
      </c>
      <c r="C19" s="3">
        <v>3.1100478468899521E-2</v>
      </c>
      <c r="D19" s="6">
        <v>7.1770334928229667E-3</v>
      </c>
    </row>
    <row r="20" spans="1:4" x14ac:dyDescent="0.45">
      <c r="A20" s="61" t="s">
        <v>79</v>
      </c>
      <c r="B20" s="23">
        <v>5.0239234449760764E-2</v>
      </c>
      <c r="C20" s="3">
        <v>7.6555023923444973E-2</v>
      </c>
      <c r="D20" s="6">
        <v>2.3923444976076555E-2</v>
      </c>
    </row>
    <row r="21" spans="1:4" x14ac:dyDescent="0.45">
      <c r="A21" s="61" t="s">
        <v>80</v>
      </c>
      <c r="B21" s="23">
        <v>0.11004784688995216</v>
      </c>
      <c r="C21" s="3">
        <v>0.13157894736842105</v>
      </c>
      <c r="D21" s="6">
        <v>8.8516746411483258E-2</v>
      </c>
    </row>
    <row r="22" spans="1:4" x14ac:dyDescent="0.45">
      <c r="A22" s="61" t="s">
        <v>81</v>
      </c>
      <c r="B22" s="23">
        <v>0.10167464114832536</v>
      </c>
      <c r="C22" s="3">
        <v>0.11961722488038277</v>
      </c>
      <c r="D22" s="6">
        <v>8.3732057416267949E-2</v>
      </c>
    </row>
    <row r="23" spans="1:4" x14ac:dyDescent="0.45">
      <c r="A23" s="61" t="s">
        <v>82</v>
      </c>
      <c r="B23" s="23">
        <v>9.8086124401913874E-2</v>
      </c>
      <c r="C23" s="3">
        <v>8.8516746411483258E-2</v>
      </c>
      <c r="D23" s="6">
        <v>0.1076555023923445</v>
      </c>
    </row>
    <row r="24" spans="1:4" x14ac:dyDescent="0.45">
      <c r="A24" s="61" t="s">
        <v>83</v>
      </c>
      <c r="B24" s="23">
        <v>9.0909090909090912E-2</v>
      </c>
      <c r="C24" s="3">
        <v>9.0909090909090912E-2</v>
      </c>
      <c r="D24" s="6">
        <v>9.0909090909090912E-2</v>
      </c>
    </row>
    <row r="25" spans="1:4" x14ac:dyDescent="0.45">
      <c r="A25" s="61" t="s">
        <v>84</v>
      </c>
      <c r="B25" s="23">
        <v>8.2535885167464115E-2</v>
      </c>
      <c r="C25" s="3">
        <v>7.8947368421052627E-2</v>
      </c>
      <c r="D25" s="6">
        <v>8.6124401913875603E-2</v>
      </c>
    </row>
    <row r="26" spans="1:4" x14ac:dyDescent="0.45">
      <c r="A26" s="61" t="s">
        <v>85</v>
      </c>
      <c r="B26" s="23">
        <v>7.6555023923444973E-2</v>
      </c>
      <c r="C26" s="3">
        <v>9.0909090909090912E-2</v>
      </c>
      <c r="D26" s="6">
        <v>6.2200956937799042E-2</v>
      </c>
    </row>
    <row r="27" spans="1:4" x14ac:dyDescent="0.45">
      <c r="A27" s="61" t="s">
        <v>86</v>
      </c>
      <c r="B27" s="23">
        <v>8.3732057416267949E-2</v>
      </c>
      <c r="C27" s="3">
        <v>8.6124401913875603E-2</v>
      </c>
      <c r="D27" s="6">
        <v>8.1339712918660281E-2</v>
      </c>
    </row>
    <row r="28" spans="1:4" x14ac:dyDescent="0.45">
      <c r="A28" s="61" t="s">
        <v>87</v>
      </c>
      <c r="B28" s="23">
        <v>0.11004784688995216</v>
      </c>
      <c r="C28" s="3">
        <v>0.11483253588516747</v>
      </c>
      <c r="D28" s="6">
        <v>0.10526315789473684</v>
      </c>
    </row>
    <row r="29" spans="1:4" x14ac:dyDescent="0.45">
      <c r="A29" s="61" t="s">
        <v>88</v>
      </c>
      <c r="B29" s="23">
        <v>0.10167464114832536</v>
      </c>
      <c r="C29" s="3">
        <v>6.9377990430622011E-2</v>
      </c>
      <c r="D29" s="6">
        <v>0.13397129186602871</v>
      </c>
    </row>
    <row r="30" spans="1:4" x14ac:dyDescent="0.45">
      <c r="A30" s="61" t="s">
        <v>89</v>
      </c>
      <c r="B30" s="23">
        <v>4.5454545454545456E-2</v>
      </c>
      <c r="C30" s="3">
        <v>1.9138755980861243E-2</v>
      </c>
      <c r="D30" s="6">
        <v>7.1770334928229665E-2</v>
      </c>
    </row>
    <row r="31" spans="1:4" x14ac:dyDescent="0.45">
      <c r="A31" s="61" t="s">
        <v>90</v>
      </c>
      <c r="B31" s="23">
        <v>1.9138755980861243E-2</v>
      </c>
      <c r="C31" s="3">
        <v>2.3923444976076554E-3</v>
      </c>
      <c r="D31" s="6">
        <v>3.5885167464114832E-2</v>
      </c>
    </row>
    <row r="32" spans="1:4" x14ac:dyDescent="0.45">
      <c r="A32" s="61" t="s">
        <v>91</v>
      </c>
      <c r="B32" s="23">
        <v>1.076555023923445E-2</v>
      </c>
      <c r="C32" s="3">
        <v>0</v>
      </c>
      <c r="D32" s="6">
        <v>2.1531100478468901E-2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00"/>
  </sheetPr>
  <dimension ref="A1:D36"/>
  <sheetViews>
    <sheetView topLeftCell="A4" workbookViewId="0">
      <selection activeCell="A5" sqref="A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842</v>
      </c>
      <c r="C5" s="102"/>
      <c r="D5" s="103"/>
    </row>
    <row r="6" spans="1:4" x14ac:dyDescent="0.45">
      <c r="A6" s="61" t="s">
        <v>0</v>
      </c>
      <c r="B6" s="87" t="s">
        <v>38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5</v>
      </c>
      <c r="C9" s="91"/>
      <c r="D9" s="92"/>
    </row>
    <row r="10" spans="1:4" x14ac:dyDescent="0.45">
      <c r="A10" s="65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5.5091819699499167E-2</v>
      </c>
      <c r="C19" s="3">
        <v>9.7315436241610737E-2</v>
      </c>
      <c r="D19" s="6">
        <v>1.3289036544850499E-2</v>
      </c>
    </row>
    <row r="20" spans="1:4" x14ac:dyDescent="0.45">
      <c r="A20" s="61" t="s">
        <v>79</v>
      </c>
      <c r="B20" s="23">
        <v>6.3439065108514187E-2</v>
      </c>
      <c r="C20" s="3">
        <v>0.1040268456375839</v>
      </c>
      <c r="D20" s="6">
        <v>2.3255813953488372E-2</v>
      </c>
    </row>
    <row r="21" spans="1:4" x14ac:dyDescent="0.45">
      <c r="A21" s="61" t="s">
        <v>80</v>
      </c>
      <c r="B21" s="23">
        <v>0.14023372287145242</v>
      </c>
      <c r="C21" s="3">
        <v>0.15771812080536912</v>
      </c>
      <c r="D21" s="6">
        <v>0.12292358803986711</v>
      </c>
    </row>
    <row r="22" spans="1:4" x14ac:dyDescent="0.45">
      <c r="A22" s="61" t="s">
        <v>81</v>
      </c>
      <c r="B22" s="23">
        <v>0.12353923205342238</v>
      </c>
      <c r="C22" s="3">
        <v>0.12751677852348994</v>
      </c>
      <c r="D22" s="6">
        <v>0.11960132890365449</v>
      </c>
    </row>
    <row r="23" spans="1:4" x14ac:dyDescent="0.45">
      <c r="A23" s="61" t="s">
        <v>82</v>
      </c>
      <c r="B23" s="23">
        <v>8.347245409015025E-2</v>
      </c>
      <c r="C23" s="3">
        <v>8.7248322147651006E-2</v>
      </c>
      <c r="D23" s="6">
        <v>7.9734219269102985E-2</v>
      </c>
    </row>
    <row r="24" spans="1:4" x14ac:dyDescent="0.45">
      <c r="A24" s="61" t="s">
        <v>83</v>
      </c>
      <c r="B24" s="23">
        <v>0.10851419031719532</v>
      </c>
      <c r="C24" s="3">
        <v>0.1174496644295302</v>
      </c>
      <c r="D24" s="6">
        <v>9.9667774086378738E-2</v>
      </c>
    </row>
    <row r="25" spans="1:4" x14ac:dyDescent="0.45">
      <c r="A25" s="61" t="s">
        <v>84</v>
      </c>
      <c r="B25" s="23">
        <v>8.347245409015025E-2</v>
      </c>
      <c r="C25" s="3">
        <v>9.0604026845637578E-2</v>
      </c>
      <c r="D25" s="6">
        <v>7.6411960132890366E-2</v>
      </c>
    </row>
    <row r="26" spans="1:4" x14ac:dyDescent="0.45">
      <c r="A26" s="61" t="s">
        <v>85</v>
      </c>
      <c r="B26" s="23">
        <v>8.1803005008347252E-2</v>
      </c>
      <c r="C26" s="3">
        <v>9.0604026845637578E-2</v>
      </c>
      <c r="D26" s="6">
        <v>7.3089700996677748E-2</v>
      </c>
    </row>
    <row r="27" spans="1:4" x14ac:dyDescent="0.45">
      <c r="A27" s="61" t="s">
        <v>86</v>
      </c>
      <c r="B27" s="23">
        <v>7.8464106844741241E-2</v>
      </c>
      <c r="C27" s="3">
        <v>5.0335570469798654E-2</v>
      </c>
      <c r="D27" s="6">
        <v>0.10631229235880399</v>
      </c>
    </row>
    <row r="28" spans="1:4" x14ac:dyDescent="0.45">
      <c r="A28" s="61" t="s">
        <v>87</v>
      </c>
      <c r="B28" s="23">
        <v>0.1001669449081803</v>
      </c>
      <c r="C28" s="3">
        <v>6.7114093959731544E-2</v>
      </c>
      <c r="D28" s="6">
        <v>0.13289036544850499</v>
      </c>
    </row>
    <row r="29" spans="1:4" x14ac:dyDescent="0.45">
      <c r="A29" s="61" t="s">
        <v>88</v>
      </c>
      <c r="B29" s="23">
        <v>6.6777963272120197E-2</v>
      </c>
      <c r="C29" s="3">
        <v>1.0067114093959731E-2</v>
      </c>
      <c r="D29" s="6">
        <v>0.12292358803986711</v>
      </c>
    </row>
    <row r="30" spans="1:4" x14ac:dyDescent="0.45">
      <c r="A30" s="61" t="s">
        <v>89</v>
      </c>
      <c r="B30" s="23">
        <v>1.335559265442404E-2</v>
      </c>
      <c r="C30" s="3">
        <v>0</v>
      </c>
      <c r="D30" s="6">
        <v>2.6578073089700997E-2</v>
      </c>
    </row>
    <row r="31" spans="1:4" x14ac:dyDescent="0.45">
      <c r="A31" s="61" t="s">
        <v>90</v>
      </c>
      <c r="B31" s="23">
        <v>1.6694490818030051E-3</v>
      </c>
      <c r="C31" s="3">
        <v>0</v>
      </c>
      <c r="D31" s="6">
        <v>3.3222591362126247E-3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00"/>
  </sheetPr>
  <dimension ref="A1:D36"/>
  <sheetViews>
    <sheetView topLeftCell="A4" workbookViewId="0">
      <selection activeCell="D35" sqref="B5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8">
        <v>843</v>
      </c>
      <c r="C5" s="102"/>
      <c r="D5" s="103"/>
    </row>
    <row r="6" spans="1:4" x14ac:dyDescent="0.45">
      <c r="A6" s="61" t="s">
        <v>0</v>
      </c>
      <c r="B6" s="99" t="s">
        <v>39</v>
      </c>
      <c r="C6" s="88"/>
      <c r="D6" s="89"/>
    </row>
    <row r="7" spans="1:4" x14ac:dyDescent="0.45">
      <c r="A7" s="61" t="s">
        <v>54</v>
      </c>
      <c r="B7" s="99" t="s">
        <v>55</v>
      </c>
      <c r="C7" s="88"/>
      <c r="D7" s="89"/>
    </row>
    <row r="8" spans="1:4" x14ac:dyDescent="0.45">
      <c r="A8" s="61" t="s">
        <v>59</v>
      </c>
      <c r="B8" s="99" t="s">
        <v>60</v>
      </c>
      <c r="C8" s="88"/>
      <c r="D8" s="89"/>
    </row>
    <row r="9" spans="1:4" ht="14.65" thickBot="1" x14ac:dyDescent="0.5">
      <c r="A9" s="63" t="s">
        <v>64</v>
      </c>
      <c r="B9" s="100">
        <v>9</v>
      </c>
      <c r="C9" s="91"/>
      <c r="D9" s="92"/>
    </row>
    <row r="10" spans="1:4" x14ac:dyDescent="0.45">
      <c r="A10" s="67"/>
      <c r="B10" s="129" t="s">
        <v>134</v>
      </c>
      <c r="C10" s="117"/>
      <c r="D10" s="118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0</v>
      </c>
      <c r="C12" s="3">
        <v>0</v>
      </c>
      <c r="D12" s="6">
        <v>0</v>
      </c>
    </row>
    <row r="13" spans="1:4" x14ac:dyDescent="0.45">
      <c r="A13" s="61" t="s">
        <v>72</v>
      </c>
      <c r="B13" s="25">
        <v>0</v>
      </c>
      <c r="C13" s="3">
        <v>0</v>
      </c>
      <c r="D13" s="6">
        <v>0</v>
      </c>
    </row>
    <row r="14" spans="1:4" x14ac:dyDescent="0.45">
      <c r="A14" s="61" t="s">
        <v>73</v>
      </c>
      <c r="B14" s="25">
        <v>0</v>
      </c>
      <c r="C14" s="3">
        <v>0</v>
      </c>
      <c r="D14" s="6">
        <v>0</v>
      </c>
    </row>
    <row r="15" spans="1:4" x14ac:dyDescent="0.45">
      <c r="A15" s="61" t="s">
        <v>74</v>
      </c>
      <c r="B15" s="25">
        <v>5.7487783845932736E-4</v>
      </c>
      <c r="C15" s="3">
        <v>5.7306590257879652E-4</v>
      </c>
      <c r="D15" s="6">
        <v>5.7670126874279125E-4</v>
      </c>
    </row>
    <row r="16" spans="1:4" x14ac:dyDescent="0.45">
      <c r="A16" s="61" t="s">
        <v>75</v>
      </c>
      <c r="B16" s="25">
        <v>0</v>
      </c>
      <c r="C16" s="3">
        <v>0</v>
      </c>
      <c r="D16" s="6">
        <v>0</v>
      </c>
    </row>
    <row r="17" spans="1:4" x14ac:dyDescent="0.45">
      <c r="A17" s="61" t="s">
        <v>76</v>
      </c>
      <c r="B17" s="25">
        <v>0</v>
      </c>
      <c r="C17" s="3">
        <v>0</v>
      </c>
      <c r="D17" s="6">
        <v>0</v>
      </c>
    </row>
    <row r="18" spans="1:4" x14ac:dyDescent="0.45">
      <c r="A18" s="61" t="s">
        <v>77</v>
      </c>
      <c r="B18" s="25">
        <v>3.4492670307559644E-3</v>
      </c>
      <c r="C18" s="3">
        <v>6.3037249283667621E-3</v>
      </c>
      <c r="D18" s="6">
        <v>5.7670126874279125E-4</v>
      </c>
    </row>
    <row r="19" spans="1:4" x14ac:dyDescent="0.45">
      <c r="A19" s="61" t="s">
        <v>78</v>
      </c>
      <c r="B19" s="25">
        <v>1.9258407588387469E-2</v>
      </c>
      <c r="C19" s="3">
        <v>2.9226361031518624E-2</v>
      </c>
      <c r="D19" s="6">
        <v>9.22722029988466E-3</v>
      </c>
    </row>
    <row r="20" spans="1:4" x14ac:dyDescent="0.45">
      <c r="A20" s="61" t="s">
        <v>79</v>
      </c>
      <c r="B20" s="25">
        <v>5.1739005461339464E-2</v>
      </c>
      <c r="C20" s="3">
        <v>5.5587392550143264E-2</v>
      </c>
      <c r="D20" s="6">
        <v>4.7866205305651673E-2</v>
      </c>
    </row>
    <row r="21" spans="1:4" x14ac:dyDescent="0.45">
      <c r="A21" s="61" t="s">
        <v>80</v>
      </c>
      <c r="B21" s="25">
        <v>7.9045702788157521E-2</v>
      </c>
      <c r="C21" s="3">
        <v>8.424068767908309E-2</v>
      </c>
      <c r="D21" s="6">
        <v>7.381776239907728E-2</v>
      </c>
    </row>
    <row r="22" spans="1:4" x14ac:dyDescent="0.45">
      <c r="A22" s="61" t="s">
        <v>81</v>
      </c>
      <c r="B22" s="25">
        <v>8.6231675768899105E-2</v>
      </c>
      <c r="C22" s="3">
        <v>8.1948424068767914E-2</v>
      </c>
      <c r="D22" s="6">
        <v>9.0542099192618228E-2</v>
      </c>
    </row>
    <row r="23" spans="1:4" x14ac:dyDescent="0.45">
      <c r="A23" s="61" t="s">
        <v>82</v>
      </c>
      <c r="B23" s="25">
        <v>8.651911468812877E-2</v>
      </c>
      <c r="C23" s="3">
        <v>8.5959885386819479E-2</v>
      </c>
      <c r="D23" s="6">
        <v>8.7081891580161483E-2</v>
      </c>
    </row>
    <row r="24" spans="1:4" x14ac:dyDescent="0.45">
      <c r="A24" s="61" t="s">
        <v>83</v>
      </c>
      <c r="B24" s="25">
        <v>8.7668870365047433E-2</v>
      </c>
      <c r="C24" s="3">
        <v>8.8252148997134669E-2</v>
      </c>
      <c r="D24" s="6">
        <v>8.7081891580161483E-2</v>
      </c>
    </row>
    <row r="25" spans="1:4" x14ac:dyDescent="0.45">
      <c r="A25" s="61" t="s">
        <v>84</v>
      </c>
      <c r="B25" s="25">
        <v>9.0255820638114395E-2</v>
      </c>
      <c r="C25" s="3">
        <v>9.2263610315186248E-2</v>
      </c>
      <c r="D25" s="6">
        <v>8.8235294117647065E-2</v>
      </c>
    </row>
    <row r="26" spans="1:4" x14ac:dyDescent="0.45">
      <c r="A26" s="61" t="s">
        <v>85</v>
      </c>
      <c r="B26" s="25">
        <v>7.2434607645875254E-2</v>
      </c>
      <c r="C26" s="3">
        <v>7.1060171919770779E-2</v>
      </c>
      <c r="D26" s="6">
        <v>7.381776239907728E-2</v>
      </c>
    </row>
    <row r="27" spans="1:4" x14ac:dyDescent="0.45">
      <c r="A27" s="61" t="s">
        <v>86</v>
      </c>
      <c r="B27" s="25">
        <v>8.9106064961195747E-2</v>
      </c>
      <c r="C27" s="3">
        <v>9.1690544412607447E-2</v>
      </c>
      <c r="D27" s="6">
        <v>8.6505190311418678E-2</v>
      </c>
    </row>
    <row r="28" spans="1:4" x14ac:dyDescent="0.45">
      <c r="A28" s="61" t="s">
        <v>87</v>
      </c>
      <c r="B28" s="25">
        <v>8.9393503880425412E-2</v>
      </c>
      <c r="C28" s="3">
        <v>8.5386819484240692E-2</v>
      </c>
      <c r="D28" s="6">
        <v>9.3425605536332182E-2</v>
      </c>
    </row>
    <row r="29" spans="1:4" x14ac:dyDescent="0.45">
      <c r="A29" s="61" t="s">
        <v>88</v>
      </c>
      <c r="B29" s="25">
        <v>7.5883874676631213E-2</v>
      </c>
      <c r="C29" s="3">
        <v>7.2206303724928367E-2</v>
      </c>
      <c r="D29" s="6">
        <v>7.9584775086505188E-2</v>
      </c>
    </row>
    <row r="30" spans="1:4" x14ac:dyDescent="0.45">
      <c r="A30" s="61" t="s">
        <v>89</v>
      </c>
      <c r="B30" s="25">
        <v>6.5536073584363322E-2</v>
      </c>
      <c r="C30" s="3">
        <v>6.4183381088825209E-2</v>
      </c>
      <c r="D30" s="6">
        <v>6.6897347174163777E-2</v>
      </c>
    </row>
    <row r="31" spans="1:4" x14ac:dyDescent="0.45">
      <c r="A31" s="61" t="s">
        <v>90</v>
      </c>
      <c r="B31" s="25">
        <v>4.9439494107502154E-2</v>
      </c>
      <c r="C31" s="3">
        <v>4.8710601719197708E-2</v>
      </c>
      <c r="D31" s="6">
        <v>5.0173010380622836E-2</v>
      </c>
    </row>
    <row r="32" spans="1:4" x14ac:dyDescent="0.45">
      <c r="A32" s="61" t="s">
        <v>91</v>
      </c>
      <c r="B32" s="25">
        <v>3.7079620580626617E-2</v>
      </c>
      <c r="C32" s="3">
        <v>3.4383954154727794E-2</v>
      </c>
      <c r="D32" s="6">
        <v>3.9792387543252594E-2</v>
      </c>
    </row>
    <row r="33" spans="1:4" x14ac:dyDescent="0.45">
      <c r="A33" s="61" t="s">
        <v>92</v>
      </c>
      <c r="B33" s="25">
        <v>1.5809140557631503E-2</v>
      </c>
      <c r="C33" s="3">
        <v>8.0229226361031511E-3</v>
      </c>
      <c r="D33" s="6">
        <v>2.3644752018454441E-2</v>
      </c>
    </row>
    <row r="34" spans="1:4" x14ac:dyDescent="0.45">
      <c r="A34" s="61" t="s">
        <v>93</v>
      </c>
      <c r="B34" s="25">
        <v>5.7487783845932736E-4</v>
      </c>
      <c r="C34" s="3">
        <v>0</v>
      </c>
      <c r="D34" s="6">
        <v>1.1534025374855825E-3</v>
      </c>
    </row>
    <row r="35" spans="1:4" ht="14.65" thickBot="1" x14ac:dyDescent="0.5">
      <c r="A35" s="63" t="s">
        <v>94</v>
      </c>
      <c r="B35" s="26">
        <v>0</v>
      </c>
      <c r="C35" s="8">
        <v>0</v>
      </c>
      <c r="D35" s="9">
        <v>0</v>
      </c>
    </row>
    <row r="36" spans="1:4" x14ac:dyDescent="0.45">
      <c r="B36" s="11">
        <f>SUM(B12:B35)</f>
        <v>1.0000000000000002</v>
      </c>
      <c r="C36" s="11">
        <f>SUM(C12:C35)</f>
        <v>1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00"/>
  </sheetPr>
  <dimension ref="A1:D36"/>
  <sheetViews>
    <sheetView topLeftCell="A4" workbookViewId="0">
      <selection activeCell="G31" sqref="G31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60" t="s">
        <v>68</v>
      </c>
      <c r="B5" s="101">
        <v>848</v>
      </c>
      <c r="C5" s="102"/>
      <c r="D5" s="103"/>
    </row>
    <row r="6" spans="1:4" x14ac:dyDescent="0.45">
      <c r="A6" s="61" t="s">
        <v>0</v>
      </c>
      <c r="B6" s="87" t="s">
        <v>40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8</v>
      </c>
      <c r="C9" s="91"/>
      <c r="D9" s="92"/>
    </row>
    <row r="10" spans="1:4" x14ac:dyDescent="0.45">
      <c r="A10" s="65"/>
      <c r="B10" s="130" t="s">
        <v>134</v>
      </c>
      <c r="C10" s="125"/>
      <c r="D10" s="126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3.3333333333333335E-3</v>
      </c>
      <c r="C17" s="3">
        <v>3.3167495854063019E-3</v>
      </c>
      <c r="D17" s="6">
        <v>3.3500837520938024E-3</v>
      </c>
    </row>
    <row r="18" spans="1:4" x14ac:dyDescent="0.45">
      <c r="A18" s="61" t="s">
        <v>77</v>
      </c>
      <c r="B18" s="23">
        <v>3.3333333333333335E-3</v>
      </c>
      <c r="C18" s="3">
        <v>6.6334991708126038E-3</v>
      </c>
      <c r="D18" s="6">
        <v>0</v>
      </c>
    </row>
    <row r="19" spans="1:4" x14ac:dyDescent="0.45">
      <c r="A19" s="61" t="s">
        <v>78</v>
      </c>
      <c r="B19" s="23">
        <v>2.4166666666666666E-2</v>
      </c>
      <c r="C19" s="3">
        <v>3.9800995024875621E-2</v>
      </c>
      <c r="D19" s="6">
        <v>8.3752093802345051E-3</v>
      </c>
    </row>
    <row r="20" spans="1:4" x14ac:dyDescent="0.45">
      <c r="A20" s="61" t="s">
        <v>79</v>
      </c>
      <c r="B20" s="23">
        <v>6.5833333333333327E-2</v>
      </c>
      <c r="C20" s="3">
        <v>8.9552238805970144E-2</v>
      </c>
      <c r="D20" s="6">
        <v>4.1876046901172533E-2</v>
      </c>
    </row>
    <row r="21" spans="1:4" x14ac:dyDescent="0.45">
      <c r="A21" s="61" t="s">
        <v>80</v>
      </c>
      <c r="B21" s="23">
        <v>9.8333333333333328E-2</v>
      </c>
      <c r="C21" s="3">
        <v>0.1111111111111111</v>
      </c>
      <c r="D21" s="6">
        <v>8.5427135678391955E-2</v>
      </c>
    </row>
    <row r="22" spans="1:4" x14ac:dyDescent="0.45">
      <c r="A22" s="61" t="s">
        <v>81</v>
      </c>
      <c r="B22" s="23">
        <v>0.11083333333333334</v>
      </c>
      <c r="C22" s="3">
        <v>0.11442786069651742</v>
      </c>
      <c r="D22" s="6">
        <v>0.10720268006700168</v>
      </c>
    </row>
    <row r="23" spans="1:4" x14ac:dyDescent="0.45">
      <c r="A23" s="61" t="s">
        <v>82</v>
      </c>
      <c r="B23" s="23">
        <v>8.9166666666666672E-2</v>
      </c>
      <c r="C23" s="3">
        <v>9.1210613598673301E-2</v>
      </c>
      <c r="D23" s="6">
        <v>8.7102177554438859E-2</v>
      </c>
    </row>
    <row r="24" spans="1:4" x14ac:dyDescent="0.45">
      <c r="A24" s="61" t="s">
        <v>83</v>
      </c>
      <c r="B24" s="23">
        <v>7.7499999999999999E-2</v>
      </c>
      <c r="C24" s="3">
        <v>6.7993366500829183E-2</v>
      </c>
      <c r="D24" s="6">
        <v>8.7102177554438859E-2</v>
      </c>
    </row>
    <row r="25" spans="1:4" x14ac:dyDescent="0.45">
      <c r="A25" s="61" t="s">
        <v>84</v>
      </c>
      <c r="B25" s="23">
        <v>0.12416666666666666</v>
      </c>
      <c r="C25" s="3">
        <v>0.13101160862354891</v>
      </c>
      <c r="D25" s="6">
        <v>0.11725293132328309</v>
      </c>
    </row>
    <row r="26" spans="1:4" x14ac:dyDescent="0.45">
      <c r="A26" s="61" t="s">
        <v>85</v>
      </c>
      <c r="B26" s="23">
        <v>0.10416666666666667</v>
      </c>
      <c r="C26" s="3">
        <v>9.4527363184079602E-2</v>
      </c>
      <c r="D26" s="6">
        <v>0.11390284757118928</v>
      </c>
    </row>
    <row r="27" spans="1:4" x14ac:dyDescent="0.45">
      <c r="A27" s="61" t="s">
        <v>86</v>
      </c>
      <c r="B27" s="23">
        <v>9.6666666666666665E-2</v>
      </c>
      <c r="C27" s="3">
        <v>9.1210613598673301E-2</v>
      </c>
      <c r="D27" s="6">
        <v>0.10217755443886097</v>
      </c>
    </row>
    <row r="28" spans="1:4" x14ac:dyDescent="0.45">
      <c r="A28" s="61" t="s">
        <v>87</v>
      </c>
      <c r="B28" s="23">
        <v>9.0833333333333335E-2</v>
      </c>
      <c r="C28" s="3">
        <v>8.45771144278607E-2</v>
      </c>
      <c r="D28" s="6">
        <v>9.7152428810720268E-2</v>
      </c>
    </row>
    <row r="29" spans="1:4" x14ac:dyDescent="0.45">
      <c r="A29" s="61" t="s">
        <v>88</v>
      </c>
      <c r="B29" s="23">
        <v>6.5000000000000002E-2</v>
      </c>
      <c r="C29" s="3">
        <v>5.306799336650083E-2</v>
      </c>
      <c r="D29" s="6">
        <v>7.705192629815745E-2</v>
      </c>
    </row>
    <row r="30" spans="1:4" x14ac:dyDescent="0.45">
      <c r="A30" s="61" t="s">
        <v>89</v>
      </c>
      <c r="B30" s="23">
        <v>3.2500000000000001E-2</v>
      </c>
      <c r="C30" s="3">
        <v>1.4925373134328358E-2</v>
      </c>
      <c r="D30" s="6">
        <v>5.0251256281407038E-2</v>
      </c>
    </row>
    <row r="31" spans="1:4" x14ac:dyDescent="0.45">
      <c r="A31" s="61" t="s">
        <v>90</v>
      </c>
      <c r="B31" s="23">
        <v>0.01</v>
      </c>
      <c r="C31" s="3">
        <v>3.3167495854063019E-3</v>
      </c>
      <c r="D31" s="6">
        <v>1.675041876046901E-2</v>
      </c>
    </row>
    <row r="32" spans="1:4" x14ac:dyDescent="0.45">
      <c r="A32" s="61" t="s">
        <v>91</v>
      </c>
      <c r="B32" s="23">
        <v>4.1666666666666666E-3</v>
      </c>
      <c r="C32" s="3">
        <v>3.3167495854063019E-3</v>
      </c>
      <c r="D32" s="6">
        <v>5.0251256281407036E-3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19FA-F295-4BE4-9024-DBF238C22585}">
  <sheetPr>
    <tabColor rgb="FFFFFF00"/>
  </sheetPr>
  <dimension ref="A1:S36"/>
  <sheetViews>
    <sheetView topLeftCell="A6" workbookViewId="0">
      <selection activeCell="S35" sqref="A10:S35"/>
    </sheetView>
  </sheetViews>
  <sheetFormatPr defaultRowHeight="14.25" x14ac:dyDescent="0.45"/>
  <cols>
    <col min="1" max="1" width="17.796875" customWidth="1"/>
    <col min="2" max="19" width="17.796875" style="1" customWidth="1"/>
  </cols>
  <sheetData>
    <row r="1" spans="1:19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5"/>
    </row>
    <row r="2" spans="1:19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</row>
    <row r="3" spans="1:19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9"/>
    </row>
    <row r="4" spans="1:19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2"/>
    </row>
    <row r="5" spans="1:19" x14ac:dyDescent="0.45">
      <c r="A5" s="36" t="s">
        <v>68</v>
      </c>
      <c r="B5" s="108">
        <v>850</v>
      </c>
      <c r="C5" s="102"/>
      <c r="D5" s="103"/>
      <c r="E5" s="101">
        <v>850</v>
      </c>
      <c r="F5" s="102"/>
      <c r="G5" s="106"/>
      <c r="H5" s="108">
        <v>850</v>
      </c>
      <c r="I5" s="102"/>
      <c r="J5" s="103"/>
      <c r="K5" s="101">
        <v>850</v>
      </c>
      <c r="L5" s="102"/>
      <c r="M5" s="106"/>
      <c r="N5" s="108">
        <v>850</v>
      </c>
      <c r="O5" s="102"/>
      <c r="P5" s="103"/>
      <c r="Q5" s="101">
        <v>850</v>
      </c>
      <c r="R5" s="102"/>
      <c r="S5" s="103"/>
    </row>
    <row r="6" spans="1:19" x14ac:dyDescent="0.45">
      <c r="A6" s="37" t="s">
        <v>0</v>
      </c>
      <c r="B6" s="99" t="s">
        <v>41</v>
      </c>
      <c r="C6" s="88"/>
      <c r="D6" s="89"/>
      <c r="E6" s="87" t="s">
        <v>41</v>
      </c>
      <c r="F6" s="88"/>
      <c r="G6" s="104"/>
      <c r="H6" s="99" t="s">
        <v>41</v>
      </c>
      <c r="I6" s="88"/>
      <c r="J6" s="89"/>
      <c r="K6" s="87" t="s">
        <v>41</v>
      </c>
      <c r="L6" s="88"/>
      <c r="M6" s="104"/>
      <c r="N6" s="99" t="s">
        <v>41</v>
      </c>
      <c r="O6" s="88"/>
      <c r="P6" s="89"/>
      <c r="Q6" s="87" t="s">
        <v>41</v>
      </c>
      <c r="R6" s="88"/>
      <c r="S6" s="89"/>
    </row>
    <row r="7" spans="1:19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  <c r="K7" s="87" t="s">
        <v>56</v>
      </c>
      <c r="L7" s="88"/>
      <c r="M7" s="104"/>
      <c r="N7" s="99" t="s">
        <v>56</v>
      </c>
      <c r="O7" s="88"/>
      <c r="P7" s="89"/>
      <c r="Q7" s="87" t="s">
        <v>56</v>
      </c>
      <c r="R7" s="88"/>
      <c r="S7" s="89"/>
    </row>
    <row r="8" spans="1:19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  <c r="K8" s="87" t="s">
        <v>60</v>
      </c>
      <c r="L8" s="88"/>
      <c r="M8" s="104"/>
      <c r="N8" s="99" t="s">
        <v>61</v>
      </c>
      <c r="O8" s="88"/>
      <c r="P8" s="89"/>
      <c r="Q8" s="87" t="s">
        <v>63</v>
      </c>
      <c r="R8" s="88"/>
      <c r="S8" s="89"/>
    </row>
    <row r="9" spans="1:19" ht="14.65" thickBot="1" x14ac:dyDescent="0.5">
      <c r="A9" s="38" t="s">
        <v>64</v>
      </c>
      <c r="B9" s="100">
        <v>3</v>
      </c>
      <c r="C9" s="91"/>
      <c r="D9" s="92"/>
      <c r="E9" s="90">
        <v>2</v>
      </c>
      <c r="F9" s="91"/>
      <c r="G9" s="105"/>
      <c r="H9" s="100">
        <v>1</v>
      </c>
      <c r="I9" s="91"/>
      <c r="J9" s="92"/>
      <c r="K9" s="90">
        <v>1</v>
      </c>
      <c r="L9" s="91"/>
      <c r="M9" s="105"/>
      <c r="N9" s="100">
        <v>1</v>
      </c>
      <c r="O9" s="91"/>
      <c r="P9" s="92"/>
      <c r="Q9" s="90">
        <v>1</v>
      </c>
      <c r="R9" s="91"/>
      <c r="S9" s="92"/>
    </row>
    <row r="10" spans="1:19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101" t="s">
        <v>134</v>
      </c>
      <c r="L10" s="102"/>
      <c r="M10" s="106"/>
      <c r="N10" s="108" t="s">
        <v>134</v>
      </c>
      <c r="O10" s="102"/>
      <c r="P10" s="103"/>
      <c r="Q10" s="101" t="s">
        <v>134</v>
      </c>
      <c r="R10" s="102"/>
      <c r="S10" s="103"/>
    </row>
    <row r="11" spans="1:19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14" t="s">
        <v>67</v>
      </c>
      <c r="N11" s="10" t="s">
        <v>95</v>
      </c>
      <c r="O11" s="2" t="s">
        <v>66</v>
      </c>
      <c r="P11" s="5" t="s">
        <v>67</v>
      </c>
      <c r="Q11" s="22" t="s">
        <v>95</v>
      </c>
      <c r="R11" s="2" t="s">
        <v>66</v>
      </c>
      <c r="S11" s="5" t="s">
        <v>67</v>
      </c>
    </row>
    <row r="12" spans="1:19" x14ac:dyDescent="0.45">
      <c r="A12" s="37" t="s">
        <v>71</v>
      </c>
      <c r="B12" s="25">
        <v>9.0029259509340535E-4</v>
      </c>
      <c r="C12" s="3">
        <v>0</v>
      </c>
      <c r="D12" s="6">
        <v>1.7961383026493039E-3</v>
      </c>
      <c r="E12" s="23">
        <v>0</v>
      </c>
      <c r="F12" s="3">
        <v>0</v>
      </c>
      <c r="G12" s="20">
        <v>0</v>
      </c>
      <c r="H12" s="25">
        <v>1.477832512315271E-3</v>
      </c>
      <c r="I12" s="3">
        <v>9.8619329388560163E-4</v>
      </c>
      <c r="J12" s="6">
        <v>1.968503937007874E-3</v>
      </c>
      <c r="K12" s="23">
        <v>0</v>
      </c>
      <c r="L12" s="3">
        <v>0</v>
      </c>
      <c r="M12" s="20">
        <v>0</v>
      </c>
      <c r="N12" s="25">
        <v>0</v>
      </c>
      <c r="O12" s="3">
        <v>0</v>
      </c>
      <c r="P12" s="6">
        <v>0</v>
      </c>
      <c r="Q12" s="23">
        <v>0</v>
      </c>
      <c r="R12" s="3">
        <v>0</v>
      </c>
      <c r="S12" s="6">
        <v>0</v>
      </c>
    </row>
    <row r="13" spans="1:19" x14ac:dyDescent="0.45">
      <c r="A13" s="37" t="s">
        <v>72</v>
      </c>
      <c r="B13" s="25">
        <v>2.2507314877335134E-4</v>
      </c>
      <c r="C13" s="3">
        <v>4.512635379061372E-4</v>
      </c>
      <c r="D13" s="6">
        <v>0</v>
      </c>
      <c r="E13" s="23">
        <v>0</v>
      </c>
      <c r="F13" s="3">
        <v>0</v>
      </c>
      <c r="G13" s="20">
        <v>0</v>
      </c>
      <c r="H13" s="25">
        <v>1.477832512315271E-3</v>
      </c>
      <c r="I13" s="3">
        <v>1.9723865877712033E-3</v>
      </c>
      <c r="J13" s="6">
        <v>9.8425196850393699E-4</v>
      </c>
      <c r="K13" s="23">
        <v>0</v>
      </c>
      <c r="L13" s="3">
        <v>0</v>
      </c>
      <c r="M13" s="20">
        <v>0</v>
      </c>
      <c r="N13" s="25">
        <v>0</v>
      </c>
      <c r="O13" s="3">
        <v>0</v>
      </c>
      <c r="P13" s="6">
        <v>0</v>
      </c>
      <c r="Q13" s="23">
        <v>0</v>
      </c>
      <c r="R13" s="3">
        <v>0</v>
      </c>
      <c r="S13" s="6">
        <v>0</v>
      </c>
    </row>
    <row r="14" spans="1:19" x14ac:dyDescent="0.45">
      <c r="A14" s="37" t="s">
        <v>73</v>
      </c>
      <c r="B14" s="25">
        <v>0</v>
      </c>
      <c r="C14" s="3">
        <v>0</v>
      </c>
      <c r="D14" s="6">
        <v>0</v>
      </c>
      <c r="E14" s="23">
        <v>5.3547523427041502E-4</v>
      </c>
      <c r="F14" s="3">
        <v>1.0712372790573112E-3</v>
      </c>
      <c r="G14" s="20">
        <v>0</v>
      </c>
      <c r="H14" s="25">
        <v>0</v>
      </c>
      <c r="I14" s="3">
        <v>0</v>
      </c>
      <c r="J14" s="6">
        <v>0</v>
      </c>
      <c r="K14" s="23">
        <v>0</v>
      </c>
      <c r="L14" s="3">
        <v>0</v>
      </c>
      <c r="M14" s="20">
        <v>0</v>
      </c>
      <c r="N14" s="25">
        <v>0</v>
      </c>
      <c r="O14" s="3">
        <v>0</v>
      </c>
      <c r="P14" s="6">
        <v>0</v>
      </c>
      <c r="Q14" s="23">
        <v>0</v>
      </c>
      <c r="R14" s="3">
        <v>0</v>
      </c>
      <c r="S14" s="6">
        <v>0</v>
      </c>
    </row>
    <row r="15" spans="1:19" x14ac:dyDescent="0.45">
      <c r="A15" s="37" t="s">
        <v>74</v>
      </c>
      <c r="B15" s="25">
        <v>4.5014629754670267E-4</v>
      </c>
      <c r="C15" s="3">
        <v>4.512635379061372E-4</v>
      </c>
      <c r="D15" s="6">
        <v>4.4903457566232598E-4</v>
      </c>
      <c r="E15" s="23">
        <v>0</v>
      </c>
      <c r="F15" s="3">
        <v>0</v>
      </c>
      <c r="G15" s="20">
        <v>0</v>
      </c>
      <c r="H15" s="25">
        <v>4.9261083743842361E-4</v>
      </c>
      <c r="I15" s="3">
        <v>9.8619329388560163E-4</v>
      </c>
      <c r="J15" s="6">
        <v>0</v>
      </c>
      <c r="K15" s="23">
        <v>0</v>
      </c>
      <c r="L15" s="3">
        <v>0</v>
      </c>
      <c r="M15" s="20">
        <v>0</v>
      </c>
      <c r="N15" s="25">
        <v>0</v>
      </c>
      <c r="O15" s="3">
        <v>0</v>
      </c>
      <c r="P15" s="6">
        <v>0</v>
      </c>
      <c r="Q15" s="23">
        <v>0</v>
      </c>
      <c r="R15" s="3">
        <v>0</v>
      </c>
      <c r="S15" s="6">
        <v>0</v>
      </c>
    </row>
    <row r="16" spans="1:19" x14ac:dyDescent="0.45">
      <c r="A16" s="37" t="s">
        <v>75</v>
      </c>
      <c r="B16" s="25">
        <v>1.5755120414134593E-3</v>
      </c>
      <c r="C16" s="3">
        <v>1.8050541516245488E-3</v>
      </c>
      <c r="D16" s="6">
        <v>1.3471037269869781E-3</v>
      </c>
      <c r="E16" s="23">
        <v>1.07095046854083E-3</v>
      </c>
      <c r="F16" s="3">
        <v>1.6068559185859668E-3</v>
      </c>
      <c r="G16" s="20">
        <v>5.3533190578158461E-4</v>
      </c>
      <c r="H16" s="25">
        <v>1.477832512315271E-3</v>
      </c>
      <c r="I16" s="3">
        <v>1.9723865877712033E-3</v>
      </c>
      <c r="J16" s="6">
        <v>9.8425196850393699E-4</v>
      </c>
      <c r="K16" s="23">
        <v>0</v>
      </c>
      <c r="L16" s="3">
        <v>0</v>
      </c>
      <c r="M16" s="20">
        <v>0</v>
      </c>
      <c r="N16" s="25">
        <v>0</v>
      </c>
      <c r="O16" s="3">
        <v>0</v>
      </c>
      <c r="P16" s="6">
        <v>0</v>
      </c>
      <c r="Q16" s="23">
        <v>0</v>
      </c>
      <c r="R16" s="3">
        <v>0</v>
      </c>
      <c r="S16" s="6">
        <v>0</v>
      </c>
    </row>
    <row r="17" spans="1:19" x14ac:dyDescent="0.45">
      <c r="A17" s="37" t="s">
        <v>76</v>
      </c>
      <c r="B17" s="25">
        <v>2.7008777852802163E-3</v>
      </c>
      <c r="C17" s="3">
        <v>4.5126353790613718E-3</v>
      </c>
      <c r="D17" s="6">
        <v>8.9806915132465196E-4</v>
      </c>
      <c r="E17" s="23">
        <v>3.7483266398929049E-3</v>
      </c>
      <c r="F17" s="3">
        <v>6.427423674343867E-3</v>
      </c>
      <c r="G17" s="20">
        <v>1.0706638115631692E-3</v>
      </c>
      <c r="H17" s="25">
        <v>9.8522167487684722E-4</v>
      </c>
      <c r="I17" s="3">
        <v>9.8619329388560163E-4</v>
      </c>
      <c r="J17" s="6">
        <v>9.8425196850393699E-4</v>
      </c>
      <c r="K17" s="23">
        <v>0</v>
      </c>
      <c r="L17" s="3">
        <v>0</v>
      </c>
      <c r="M17" s="20">
        <v>0</v>
      </c>
      <c r="N17" s="25">
        <v>0</v>
      </c>
      <c r="O17" s="3">
        <v>0</v>
      </c>
      <c r="P17" s="6">
        <v>0</v>
      </c>
      <c r="Q17" s="23">
        <v>0</v>
      </c>
      <c r="R17" s="3">
        <v>0</v>
      </c>
      <c r="S17" s="6">
        <v>0</v>
      </c>
    </row>
    <row r="18" spans="1:19" x14ac:dyDescent="0.45">
      <c r="A18" s="37" t="s">
        <v>77</v>
      </c>
      <c r="B18" s="25">
        <v>3.1510240828269186E-3</v>
      </c>
      <c r="C18" s="3">
        <v>5.8664259927797835E-3</v>
      </c>
      <c r="D18" s="6">
        <v>4.4903457566232598E-4</v>
      </c>
      <c r="E18" s="23">
        <v>2.6773761713520751E-4</v>
      </c>
      <c r="F18" s="3">
        <v>5.3561863952865559E-4</v>
      </c>
      <c r="G18" s="20">
        <v>0</v>
      </c>
      <c r="H18" s="25">
        <v>6.8965517241379309E-3</v>
      </c>
      <c r="I18" s="3">
        <v>1.0848126232741617E-2</v>
      </c>
      <c r="J18" s="6">
        <v>2.952755905511811E-3</v>
      </c>
      <c r="K18" s="23">
        <v>2.3995200959808036E-3</v>
      </c>
      <c r="L18" s="3">
        <v>2.6970332634102486E-3</v>
      </c>
      <c r="M18" s="20">
        <v>2.1014710297208045E-3</v>
      </c>
      <c r="N18" s="25">
        <v>3.2298136645962732E-3</v>
      </c>
      <c r="O18" s="3">
        <v>2.9791459781529296E-3</v>
      </c>
      <c r="P18" s="6">
        <v>3.4808552958727002E-3</v>
      </c>
      <c r="Q18" s="23">
        <v>5.1111679018655762E-4</v>
      </c>
      <c r="R18" s="3">
        <v>5.1229508196721314E-4</v>
      </c>
      <c r="S18" s="6">
        <v>5.099439061703213E-4</v>
      </c>
    </row>
    <row r="19" spans="1:19" x14ac:dyDescent="0.45">
      <c r="A19" s="37" t="s">
        <v>78</v>
      </c>
      <c r="B19" s="25">
        <v>1.4854827819041188E-2</v>
      </c>
      <c r="C19" s="3">
        <v>1.5342960288808664E-2</v>
      </c>
      <c r="D19" s="6">
        <v>1.4369106421194431E-2</v>
      </c>
      <c r="E19" s="23">
        <v>3.2128514056224901E-3</v>
      </c>
      <c r="F19" s="3">
        <v>4.8205677557579003E-3</v>
      </c>
      <c r="G19" s="20">
        <v>1.6059957173447537E-3</v>
      </c>
      <c r="H19" s="25">
        <v>2.167487684729064E-2</v>
      </c>
      <c r="I19" s="3">
        <v>2.6627218934911243E-2</v>
      </c>
      <c r="J19" s="6">
        <v>1.6732283464566931E-2</v>
      </c>
      <c r="K19" s="23">
        <v>5.3989202159568086E-3</v>
      </c>
      <c r="L19" s="3">
        <v>6.5927479772250521E-3</v>
      </c>
      <c r="M19" s="20">
        <v>4.2029420594416091E-3</v>
      </c>
      <c r="N19" s="25">
        <v>7.4534161490683228E-3</v>
      </c>
      <c r="O19" s="3">
        <v>8.9374379344587893E-3</v>
      </c>
      <c r="P19" s="6">
        <v>5.9671805072103431E-3</v>
      </c>
      <c r="Q19" s="23">
        <v>2.555583950932788E-3</v>
      </c>
      <c r="R19" s="3">
        <v>4.0983606557377051E-3</v>
      </c>
      <c r="S19" s="6">
        <v>1.0198878123406426E-3</v>
      </c>
    </row>
    <row r="20" spans="1:19" x14ac:dyDescent="0.45">
      <c r="A20" s="37" t="s">
        <v>79</v>
      </c>
      <c r="B20" s="25">
        <v>3.8037362142696374E-2</v>
      </c>
      <c r="C20" s="3">
        <v>4.3321299638989168E-2</v>
      </c>
      <c r="D20" s="6">
        <v>3.2779524023349799E-2</v>
      </c>
      <c r="E20" s="23">
        <v>2.8647925033467202E-2</v>
      </c>
      <c r="F20" s="3">
        <v>3.9100160685591856E-2</v>
      </c>
      <c r="G20" s="20">
        <v>1.8201284796573874E-2</v>
      </c>
      <c r="H20" s="25">
        <v>3.6453201970443348E-2</v>
      </c>
      <c r="I20" s="3">
        <v>4.2406311637080869E-2</v>
      </c>
      <c r="J20" s="6">
        <v>3.0511811023622049E-2</v>
      </c>
      <c r="K20" s="23">
        <v>3.2693461307738453E-2</v>
      </c>
      <c r="L20" s="3">
        <v>3.536110278693437E-2</v>
      </c>
      <c r="M20" s="20">
        <v>3.0021014710297209E-2</v>
      </c>
      <c r="N20" s="25">
        <v>2.8819875776397514E-2</v>
      </c>
      <c r="O20" s="3">
        <v>3.2770605759682221E-2</v>
      </c>
      <c r="P20" s="6">
        <v>2.4863252113376429E-2</v>
      </c>
      <c r="Q20" s="23">
        <v>2.7344748274980832E-2</v>
      </c>
      <c r="R20" s="3">
        <v>3.0225409836065573E-2</v>
      </c>
      <c r="S20" s="6">
        <v>2.447730749617542E-2</v>
      </c>
    </row>
    <row r="21" spans="1:19" x14ac:dyDescent="0.45">
      <c r="A21" s="37" t="s">
        <v>80</v>
      </c>
      <c r="B21" s="25">
        <v>4.749043439117713E-2</v>
      </c>
      <c r="C21" s="3">
        <v>5.0541516245487361E-2</v>
      </c>
      <c r="D21" s="6">
        <v>4.4454422990570272E-2</v>
      </c>
      <c r="E21" s="23">
        <v>6.2382864792503344E-2</v>
      </c>
      <c r="F21" s="3">
        <v>6.6416711301553299E-2</v>
      </c>
      <c r="G21" s="20">
        <v>5.8351177730192723E-2</v>
      </c>
      <c r="H21" s="25">
        <v>5.3201970443349754E-2</v>
      </c>
      <c r="I21" s="3">
        <v>5.6213017751479293E-2</v>
      </c>
      <c r="J21" s="6">
        <v>5.0196850393700788E-2</v>
      </c>
      <c r="K21" s="23">
        <v>4.4841031793641274E-2</v>
      </c>
      <c r="L21" s="3">
        <v>4.7048246928378785E-2</v>
      </c>
      <c r="M21" s="20">
        <v>4.2629840888622032E-2</v>
      </c>
      <c r="N21" s="25">
        <v>4.919254658385093E-2</v>
      </c>
      <c r="O21" s="3">
        <v>5.2135054617676264E-2</v>
      </c>
      <c r="P21" s="6">
        <v>4.6245648930880158E-2</v>
      </c>
      <c r="Q21" s="23">
        <v>4.3700485560950679E-2</v>
      </c>
      <c r="R21" s="3">
        <v>4.9180327868852458E-2</v>
      </c>
      <c r="S21" s="6">
        <v>3.8245792962774097E-2</v>
      </c>
    </row>
    <row r="22" spans="1:19" x14ac:dyDescent="0.45">
      <c r="A22" s="37" t="s">
        <v>81</v>
      </c>
      <c r="B22" s="25">
        <v>5.8969164978618052E-2</v>
      </c>
      <c r="C22" s="3">
        <v>6.4079422382671475E-2</v>
      </c>
      <c r="D22" s="6">
        <v>5.3884149079479117E-2</v>
      </c>
      <c r="E22" s="23">
        <v>7.6305220883534142E-2</v>
      </c>
      <c r="F22" s="3">
        <v>8.5698982324584894E-2</v>
      </c>
      <c r="G22" s="20">
        <v>6.6916488222698078E-2</v>
      </c>
      <c r="H22" s="25">
        <v>7.6847290640394084E-2</v>
      </c>
      <c r="I22" s="3">
        <v>9.1715976331360943E-2</v>
      </c>
      <c r="J22" s="6">
        <v>6.2007874015748032E-2</v>
      </c>
      <c r="K22" s="23">
        <v>5.0239952009598084E-2</v>
      </c>
      <c r="L22" s="3">
        <v>5.2741983817800417E-2</v>
      </c>
      <c r="M22" s="20">
        <v>4.7733413389372557E-2</v>
      </c>
      <c r="N22" s="25">
        <v>6.633540372670807E-2</v>
      </c>
      <c r="O22" s="3">
        <v>7.1002979145978154E-2</v>
      </c>
      <c r="P22" s="6">
        <v>6.1660865241173549E-2</v>
      </c>
      <c r="Q22" s="23">
        <v>6.9511883465371835E-2</v>
      </c>
      <c r="R22" s="3">
        <v>7.274590163934426E-2</v>
      </c>
      <c r="S22" s="6">
        <v>6.6292707802141762E-2</v>
      </c>
    </row>
    <row r="23" spans="1:19" x14ac:dyDescent="0.45">
      <c r="A23" s="37" t="s">
        <v>82</v>
      </c>
      <c r="B23" s="25">
        <v>7.3823992797659235E-2</v>
      </c>
      <c r="C23" s="3">
        <v>7.4458483754512639E-2</v>
      </c>
      <c r="D23" s="6">
        <v>7.3192635832959138E-2</v>
      </c>
      <c r="E23" s="23">
        <v>0.10789825970548862</v>
      </c>
      <c r="F23" s="3">
        <v>0.11355115158007499</v>
      </c>
      <c r="G23" s="20">
        <v>0.10224839400428265</v>
      </c>
      <c r="H23" s="25">
        <v>0.11182266009852217</v>
      </c>
      <c r="I23" s="3">
        <v>0.11439842209072978</v>
      </c>
      <c r="J23" s="6">
        <v>0.10925196850393701</v>
      </c>
      <c r="K23" s="23">
        <v>8.2783443311337732E-2</v>
      </c>
      <c r="L23" s="3">
        <v>8.9901108780341618E-2</v>
      </c>
      <c r="M23" s="20">
        <v>7.565295706994897E-2</v>
      </c>
      <c r="N23" s="25">
        <v>7.4285714285714288E-2</v>
      </c>
      <c r="O23" s="3">
        <v>7.5968222442899705E-2</v>
      </c>
      <c r="P23" s="6">
        <v>7.2600696171059173E-2</v>
      </c>
      <c r="Q23" s="23">
        <v>9.9667774086378738E-2</v>
      </c>
      <c r="R23" s="3">
        <v>0.10348360655737705</v>
      </c>
      <c r="S23" s="6">
        <v>9.5869454360020395E-2</v>
      </c>
    </row>
    <row r="24" spans="1:19" x14ac:dyDescent="0.45">
      <c r="A24" s="37" t="s">
        <v>83</v>
      </c>
      <c r="B24" s="25">
        <v>9.5881161377447677E-2</v>
      </c>
      <c r="C24" s="3">
        <v>9.2509025270758119E-2</v>
      </c>
      <c r="D24" s="6">
        <v>9.9236641221374045E-2</v>
      </c>
      <c r="E24" s="23">
        <v>0.10495314591700133</v>
      </c>
      <c r="F24" s="3">
        <v>0.10605249062667381</v>
      </c>
      <c r="G24" s="20">
        <v>0.10385438972162742</v>
      </c>
      <c r="H24" s="25">
        <v>0.1103448275862069</v>
      </c>
      <c r="I24" s="3">
        <v>0.10552268244575937</v>
      </c>
      <c r="J24" s="6">
        <v>0.11515748031496063</v>
      </c>
      <c r="K24" s="23">
        <v>9.6730653869226149E-2</v>
      </c>
      <c r="L24" s="3">
        <v>9.679352712016781E-2</v>
      </c>
      <c r="M24" s="20">
        <v>9.6667667367157012E-2</v>
      </c>
      <c r="N24" s="25">
        <v>9.4658385093167707E-2</v>
      </c>
      <c r="O24" s="3">
        <v>9.7318768619662363E-2</v>
      </c>
      <c r="P24" s="6">
        <v>9.1994032819492796E-2</v>
      </c>
      <c r="Q24" s="23">
        <v>0.11883465371837465</v>
      </c>
      <c r="R24" s="3">
        <v>0.1173155737704918</v>
      </c>
      <c r="S24" s="6">
        <v>0.12034676185619582</v>
      </c>
    </row>
    <row r="25" spans="1:19" x14ac:dyDescent="0.45">
      <c r="A25" s="37" t="s">
        <v>84</v>
      </c>
      <c r="B25" s="25">
        <v>8.0576187260859786E-2</v>
      </c>
      <c r="C25" s="3">
        <v>8.6642599277978335E-2</v>
      </c>
      <c r="D25" s="6">
        <v>7.4539739559946111E-2</v>
      </c>
      <c r="E25" s="23">
        <v>0.11298527443105756</v>
      </c>
      <c r="F25" s="3">
        <v>0.11247991430101767</v>
      </c>
      <c r="G25" s="20">
        <v>0.11349036402569593</v>
      </c>
      <c r="H25" s="25">
        <v>0.11773399014778325</v>
      </c>
      <c r="I25" s="3">
        <v>0.11341222879684418</v>
      </c>
      <c r="J25" s="6">
        <v>0.12204724409448819</v>
      </c>
      <c r="K25" s="23">
        <v>8.5632873425314934E-2</v>
      </c>
      <c r="L25" s="3">
        <v>8.4507042253521125E-2</v>
      </c>
      <c r="M25" s="20">
        <v>8.6760732512758926E-2</v>
      </c>
      <c r="N25" s="25">
        <v>9.9875776397515534E-2</v>
      </c>
      <c r="O25" s="3">
        <v>9.9801390268123139E-2</v>
      </c>
      <c r="P25" s="6">
        <v>9.9950273495773248E-2</v>
      </c>
      <c r="Q25" s="23">
        <v>0.11167901865576284</v>
      </c>
      <c r="R25" s="3">
        <v>0.11321721311475409</v>
      </c>
      <c r="S25" s="6">
        <v>0.11014788373278939</v>
      </c>
    </row>
    <row r="26" spans="1:19" x14ac:dyDescent="0.45">
      <c r="A26" s="37" t="s">
        <v>85</v>
      </c>
      <c r="B26" s="25">
        <v>8.9579113211793834E-2</v>
      </c>
      <c r="C26" s="3">
        <v>8.7545126353790609E-2</v>
      </c>
      <c r="D26" s="6">
        <v>9.1603053435114504E-2</v>
      </c>
      <c r="E26" s="23">
        <v>9.8795180722891562E-2</v>
      </c>
      <c r="F26" s="3">
        <v>9.1055168719871446E-2</v>
      </c>
      <c r="G26" s="20">
        <v>0.10653104925053533</v>
      </c>
      <c r="H26" s="25">
        <v>0.11576354679802955</v>
      </c>
      <c r="I26" s="3">
        <v>0.11932938856015779</v>
      </c>
      <c r="J26" s="6">
        <v>0.11220472440944881</v>
      </c>
      <c r="K26" s="23">
        <v>8.4433113377324537E-2</v>
      </c>
      <c r="L26" s="3">
        <v>8.4507042253521125E-2</v>
      </c>
      <c r="M26" s="20">
        <v>8.4359051335935159E-2</v>
      </c>
      <c r="N26" s="25">
        <v>9.9378881987577633E-2</v>
      </c>
      <c r="O26" s="3">
        <v>0.10278053624627606</v>
      </c>
      <c r="P26" s="6">
        <v>9.5972153157633022E-2</v>
      </c>
      <c r="Q26" s="23">
        <v>0.10682340914899055</v>
      </c>
      <c r="R26" s="3">
        <v>0.1096311475409836</v>
      </c>
      <c r="S26" s="6">
        <v>0.10402855685874554</v>
      </c>
    </row>
    <row r="27" spans="1:19" x14ac:dyDescent="0.45">
      <c r="A27" s="37" t="s">
        <v>86</v>
      </c>
      <c r="B27" s="25">
        <v>8.6878235426513614E-2</v>
      </c>
      <c r="C27" s="3">
        <v>8.8898916967509026E-2</v>
      </c>
      <c r="D27" s="6">
        <v>8.4867534800179611E-2</v>
      </c>
      <c r="E27" s="23">
        <v>9.1298527443105751E-2</v>
      </c>
      <c r="F27" s="3">
        <v>9.8553829673272628E-2</v>
      </c>
      <c r="G27" s="20">
        <v>8.4047109207708776E-2</v>
      </c>
      <c r="H27" s="25">
        <v>0.10147783251231528</v>
      </c>
      <c r="I27" s="3">
        <v>9.6646942800788949E-2</v>
      </c>
      <c r="J27" s="6">
        <v>0.1062992125984252</v>
      </c>
      <c r="K27" s="23">
        <v>9.1781643671265747E-2</v>
      </c>
      <c r="L27" s="3">
        <v>9.1099790230746186E-2</v>
      </c>
      <c r="M27" s="20">
        <v>9.2464725307715406E-2</v>
      </c>
      <c r="N27" s="25">
        <v>8.9937888198757768E-2</v>
      </c>
      <c r="O27" s="3">
        <v>8.4409136047666339E-2</v>
      </c>
      <c r="P27" s="6">
        <v>9.5474888115365489E-2</v>
      </c>
      <c r="Q27" s="23">
        <v>0.10835675951955022</v>
      </c>
      <c r="R27" s="3">
        <v>0.10860655737704918</v>
      </c>
      <c r="S27" s="6">
        <v>0.10810810810810811</v>
      </c>
    </row>
    <row r="28" spans="1:19" x14ac:dyDescent="0.45">
      <c r="A28" s="37" t="s">
        <v>87</v>
      </c>
      <c r="B28" s="25">
        <v>9.7231600270087773E-2</v>
      </c>
      <c r="C28" s="3">
        <v>9.7924187725631773E-2</v>
      </c>
      <c r="D28" s="6">
        <v>9.6542433767400085E-2</v>
      </c>
      <c r="E28" s="23">
        <v>9.5314591700133872E-2</v>
      </c>
      <c r="F28" s="3">
        <v>8.9983931440814138E-2</v>
      </c>
      <c r="G28" s="20">
        <v>0.1006423982869379</v>
      </c>
      <c r="H28" s="25">
        <v>7.8817733990147784E-2</v>
      </c>
      <c r="I28" s="3">
        <v>7.1005917159763315E-2</v>
      </c>
      <c r="J28" s="6">
        <v>8.6614173228346455E-2</v>
      </c>
      <c r="K28" s="23">
        <v>9.7630473905218951E-2</v>
      </c>
      <c r="L28" s="3">
        <v>9.9790230746179209E-2</v>
      </c>
      <c r="M28" s="20">
        <v>9.5466826778745115E-2</v>
      </c>
      <c r="N28" s="25">
        <v>0.10285714285714286</v>
      </c>
      <c r="O28" s="3">
        <v>0.10476663356504469</v>
      </c>
      <c r="P28" s="6">
        <v>0.1009448035803083</v>
      </c>
      <c r="Q28" s="23">
        <v>0.11040122668029645</v>
      </c>
      <c r="R28" s="3">
        <v>0.10092213114754098</v>
      </c>
      <c r="S28" s="6">
        <v>0.1198368179500255</v>
      </c>
    </row>
    <row r="29" spans="1:19" x14ac:dyDescent="0.45">
      <c r="A29" s="37" t="s">
        <v>88</v>
      </c>
      <c r="B29" s="25">
        <v>9.4755795633580914E-2</v>
      </c>
      <c r="C29" s="3">
        <v>9.4765342960288809E-2</v>
      </c>
      <c r="D29" s="6">
        <v>9.4746295464750788E-2</v>
      </c>
      <c r="E29" s="23">
        <v>7.2289156626506021E-2</v>
      </c>
      <c r="F29" s="3">
        <v>6.7487948580610607E-2</v>
      </c>
      <c r="G29" s="20">
        <v>7.7087794432548179E-2</v>
      </c>
      <c r="H29" s="25">
        <v>6.9458128078817738E-2</v>
      </c>
      <c r="I29" s="3">
        <v>6.8047337278106509E-2</v>
      </c>
      <c r="J29" s="6">
        <v>7.0866141732283464E-2</v>
      </c>
      <c r="K29" s="23">
        <v>0.10137972405518897</v>
      </c>
      <c r="L29" s="3">
        <v>0.10008990110878034</v>
      </c>
      <c r="M29" s="20">
        <v>0.10267187030921646</v>
      </c>
      <c r="N29" s="25">
        <v>8.6956521739130432E-2</v>
      </c>
      <c r="O29" s="3">
        <v>8.5898709036742807E-2</v>
      </c>
      <c r="P29" s="6">
        <v>8.8015912481352557E-2</v>
      </c>
      <c r="Q29" s="23">
        <v>8.7145412726808077E-2</v>
      </c>
      <c r="R29" s="3">
        <v>8.5040983606557374E-2</v>
      </c>
      <c r="S29" s="6">
        <v>8.9240183579806218E-2</v>
      </c>
    </row>
    <row r="30" spans="1:19" x14ac:dyDescent="0.45">
      <c r="A30" s="37" t="s">
        <v>89</v>
      </c>
      <c r="B30" s="25">
        <v>8.507765023632681E-2</v>
      </c>
      <c r="C30" s="3">
        <v>7.7617328519855602E-2</v>
      </c>
      <c r="D30" s="6">
        <v>9.2501122586439152E-2</v>
      </c>
      <c r="E30" s="23">
        <v>6.3453815261044183E-2</v>
      </c>
      <c r="F30" s="3">
        <v>5.8382431708623457E-2</v>
      </c>
      <c r="G30" s="20">
        <v>6.852248394004283E-2</v>
      </c>
      <c r="H30" s="25">
        <v>5.6650246305418719E-2</v>
      </c>
      <c r="I30" s="3">
        <v>4.9309664694280081E-2</v>
      </c>
      <c r="J30" s="6">
        <v>6.3976377952755903E-2</v>
      </c>
      <c r="K30" s="23">
        <v>8.7582483503299335E-2</v>
      </c>
      <c r="L30" s="3">
        <v>8.0011986814504041E-2</v>
      </c>
      <c r="M30" s="20">
        <v>9.5166616631642151E-2</v>
      </c>
      <c r="N30" s="25">
        <v>7.7515527950310553E-2</v>
      </c>
      <c r="O30" s="3">
        <v>7.2492552135054622E-2</v>
      </c>
      <c r="P30" s="6">
        <v>8.2545997016409745E-2</v>
      </c>
      <c r="Q30" s="23">
        <v>4.7022744697163305E-2</v>
      </c>
      <c r="R30" s="3">
        <v>4.3032786885245901E-2</v>
      </c>
      <c r="S30" s="6">
        <v>5.0994390617032127E-2</v>
      </c>
    </row>
    <row r="31" spans="1:19" x14ac:dyDescent="0.45">
      <c r="A31" s="37" t="s">
        <v>90</v>
      </c>
      <c r="B31" s="25">
        <v>6.1444969615124918E-2</v>
      </c>
      <c r="C31" s="3">
        <v>5.6407942238267145E-2</v>
      </c>
      <c r="D31" s="6">
        <v>6.6457117198024246E-2</v>
      </c>
      <c r="E31" s="23">
        <v>4.2302543507362782E-2</v>
      </c>
      <c r="F31" s="3">
        <v>3.4279592929833957E-2</v>
      </c>
      <c r="G31" s="20">
        <v>5.0321199143468949E-2</v>
      </c>
      <c r="H31" s="25">
        <v>2.8571428571428571E-2</v>
      </c>
      <c r="I31" s="3">
        <v>2.3668639053254437E-2</v>
      </c>
      <c r="J31" s="6">
        <v>3.3464566929133861E-2</v>
      </c>
      <c r="K31" s="23">
        <v>6.1037792441511696E-2</v>
      </c>
      <c r="L31" s="3">
        <v>6.0233742882828886E-2</v>
      </c>
      <c r="M31" s="20">
        <v>6.1843290303212249E-2</v>
      </c>
      <c r="N31" s="25">
        <v>5.3167701863354039E-2</v>
      </c>
      <c r="O31" s="3">
        <v>4.9652432969215489E-2</v>
      </c>
      <c r="P31" s="6">
        <v>5.6688214818498263E-2</v>
      </c>
      <c r="Q31" s="23">
        <v>2.5555839509327882E-2</v>
      </c>
      <c r="R31" s="3">
        <v>2.3565573770491802E-2</v>
      </c>
      <c r="S31" s="6">
        <v>2.7536970933197347E-2</v>
      </c>
    </row>
    <row r="32" spans="1:19" x14ac:dyDescent="0.45">
      <c r="A32" s="37" t="s">
        <v>91</v>
      </c>
      <c r="B32" s="25">
        <v>4.0063020481656539E-2</v>
      </c>
      <c r="C32" s="3">
        <v>3.7906137184115521E-2</v>
      </c>
      <c r="D32" s="6">
        <v>4.2209250112258644E-2</v>
      </c>
      <c r="E32" s="23">
        <v>2.356091030789826E-2</v>
      </c>
      <c r="F32" s="3">
        <v>1.7675415104445636E-2</v>
      </c>
      <c r="G32" s="20">
        <v>2.9443254817987152E-2</v>
      </c>
      <c r="H32" s="25">
        <v>4.9261083743842365E-3</v>
      </c>
      <c r="I32" s="3">
        <v>1.9723865877712033E-3</v>
      </c>
      <c r="J32" s="6">
        <v>7.874015748031496E-3</v>
      </c>
      <c r="K32" s="23">
        <v>3.9592081583683263E-2</v>
      </c>
      <c r="L32" s="3">
        <v>3.6559784237338924E-2</v>
      </c>
      <c r="M32" s="20">
        <v>4.2629840888622032E-2</v>
      </c>
      <c r="N32" s="25">
        <v>3.6024844720496892E-2</v>
      </c>
      <c r="O32" s="3">
        <v>3.3267130089374382E-2</v>
      </c>
      <c r="P32" s="6">
        <v>3.8786673296867233E-2</v>
      </c>
      <c r="Q32" s="23">
        <v>2.1211346792742142E-2</v>
      </c>
      <c r="R32" s="3">
        <v>2.0491803278688523E-2</v>
      </c>
      <c r="S32" s="6">
        <v>2.1927587965323816E-2</v>
      </c>
    </row>
    <row r="33" spans="1:19" x14ac:dyDescent="0.45">
      <c r="A33" s="37" t="s">
        <v>92</v>
      </c>
      <c r="B33" s="25">
        <v>2.3407607472428538E-2</v>
      </c>
      <c r="C33" s="3">
        <v>1.895306859205776E-2</v>
      </c>
      <c r="D33" s="6">
        <v>2.7840143691064211E-2</v>
      </c>
      <c r="E33" s="23">
        <v>7.2289156626506026E-3</v>
      </c>
      <c r="F33" s="3">
        <v>4.2849491162292447E-3</v>
      </c>
      <c r="G33" s="20">
        <v>1.0171306209850108E-2</v>
      </c>
      <c r="H33" s="25">
        <v>2.9556650246305421E-3</v>
      </c>
      <c r="I33" s="3">
        <v>1.9723865877712033E-3</v>
      </c>
      <c r="J33" s="6">
        <v>3.937007874015748E-3</v>
      </c>
      <c r="K33" s="23">
        <v>2.9694061187762449E-2</v>
      </c>
      <c r="L33" s="3">
        <v>2.7869343721905904E-2</v>
      </c>
      <c r="M33" s="20">
        <v>3.152206544581207E-2</v>
      </c>
      <c r="N33" s="25">
        <v>2.2857142857142857E-2</v>
      </c>
      <c r="O33" s="3">
        <v>2.0357497517378351E-2</v>
      </c>
      <c r="P33" s="6">
        <v>2.5360517155643959E-2</v>
      </c>
      <c r="Q33" s="23">
        <v>1.507794531050345E-2</v>
      </c>
      <c r="R33" s="3">
        <v>1.3831967213114754E-2</v>
      </c>
      <c r="S33" s="6">
        <v>1.6318204997450281E-2</v>
      </c>
    </row>
    <row r="34" spans="1:19" x14ac:dyDescent="0.45">
      <c r="A34" s="37" t="s">
        <v>93</v>
      </c>
      <c r="B34" s="25">
        <v>2.0256583389601621E-3</v>
      </c>
      <c r="C34" s="3">
        <v>0</v>
      </c>
      <c r="D34" s="6">
        <v>4.0413111809609343E-3</v>
      </c>
      <c r="E34" s="23">
        <v>3.7483266398929049E-3</v>
      </c>
      <c r="F34" s="3">
        <v>5.3561863952865559E-4</v>
      </c>
      <c r="G34" s="20">
        <v>6.9593147751605992E-3</v>
      </c>
      <c r="H34" s="25">
        <v>4.9261083743842361E-4</v>
      </c>
      <c r="I34" s="3">
        <v>0</v>
      </c>
      <c r="J34" s="6">
        <v>9.8425196850393699E-4</v>
      </c>
      <c r="K34" s="23">
        <v>5.6988602279544089E-3</v>
      </c>
      <c r="L34" s="3">
        <v>3.596044351213665E-3</v>
      </c>
      <c r="M34" s="20">
        <v>7.8054638246772738E-3</v>
      </c>
      <c r="N34" s="25">
        <v>6.4596273291925464E-3</v>
      </c>
      <c r="O34" s="3">
        <v>4.4687189672293947E-3</v>
      </c>
      <c r="P34" s="6">
        <v>8.4535057185479868E-3</v>
      </c>
      <c r="Q34" s="23">
        <v>4.6000511116790184E-3</v>
      </c>
      <c r="R34" s="3">
        <v>4.0983606557377051E-3</v>
      </c>
      <c r="S34" s="6">
        <v>5.0994390617032127E-3</v>
      </c>
    </row>
    <row r="35" spans="1:19" ht="14.65" thickBot="1" x14ac:dyDescent="0.5">
      <c r="A35" s="38" t="s">
        <v>94</v>
      </c>
      <c r="B35" s="26">
        <v>9.0029259509340535E-4</v>
      </c>
      <c r="C35" s="8">
        <v>0</v>
      </c>
      <c r="D35" s="9">
        <v>1.7961383026493039E-3</v>
      </c>
      <c r="E35" s="24">
        <v>0</v>
      </c>
      <c r="F35" s="8">
        <v>0</v>
      </c>
      <c r="G35" s="21">
        <v>0</v>
      </c>
      <c r="H35" s="26">
        <v>0</v>
      </c>
      <c r="I35" s="8">
        <v>0</v>
      </c>
      <c r="J35" s="9">
        <v>0</v>
      </c>
      <c r="K35" s="24">
        <v>4.4991001799640074E-4</v>
      </c>
      <c r="L35" s="8">
        <v>5.9934072520227753E-4</v>
      </c>
      <c r="M35" s="21">
        <v>3.0021014710297208E-4</v>
      </c>
      <c r="N35" s="26">
        <v>9.9378881987577643E-4</v>
      </c>
      <c r="O35" s="8">
        <v>9.930486593843098E-4</v>
      </c>
      <c r="P35" s="9">
        <v>9.945300845350571E-4</v>
      </c>
      <c r="Q35" s="24">
        <v>0</v>
      </c>
      <c r="R35" s="8">
        <v>0</v>
      </c>
      <c r="S35" s="9">
        <v>0</v>
      </c>
    </row>
    <row r="36" spans="1:19" x14ac:dyDescent="0.45">
      <c r="B36" s="11">
        <f t="shared" ref="B36:S36" si="0">SUM(B12:B35)</f>
        <v>1.0000000000000002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0.99999999999999989</v>
      </c>
      <c r="G36" s="11">
        <f t="shared" si="0"/>
        <v>1</v>
      </c>
      <c r="H36" s="11">
        <f t="shared" si="0"/>
        <v>1</v>
      </c>
      <c r="I36" s="11">
        <f t="shared" si="0"/>
        <v>1.0000000000000002</v>
      </c>
      <c r="J36" s="11">
        <f t="shared" si="0"/>
        <v>1</v>
      </c>
      <c r="K36" s="11">
        <f t="shared" si="0"/>
        <v>0.99999999999999989</v>
      </c>
      <c r="L36" s="11">
        <f t="shared" si="0"/>
        <v>1</v>
      </c>
      <c r="M36" s="11">
        <f t="shared" si="0"/>
        <v>0.99999999999999989</v>
      </c>
      <c r="N36" s="11">
        <f t="shared" si="0"/>
        <v>1.0000000000000004</v>
      </c>
      <c r="O36" s="11">
        <f t="shared" si="0"/>
        <v>1</v>
      </c>
      <c r="P36" s="11">
        <f t="shared" si="0"/>
        <v>1</v>
      </c>
      <c r="Q36" s="11">
        <f t="shared" si="0"/>
        <v>1.0000000000000002</v>
      </c>
      <c r="R36" s="11">
        <f t="shared" si="0"/>
        <v>1</v>
      </c>
      <c r="S36" s="11">
        <f t="shared" si="0"/>
        <v>1.0000000000000002</v>
      </c>
    </row>
  </sheetData>
  <mergeCells count="39">
    <mergeCell ref="B7:D7"/>
    <mergeCell ref="E7:G7"/>
    <mergeCell ref="H7:J7"/>
    <mergeCell ref="K6:M6"/>
    <mergeCell ref="N6:P6"/>
    <mergeCell ref="Q6:S6"/>
    <mergeCell ref="B5:D5"/>
    <mergeCell ref="E5:G5"/>
    <mergeCell ref="H5:J5"/>
    <mergeCell ref="K5:M5"/>
    <mergeCell ref="N5:P5"/>
    <mergeCell ref="Q10:S10"/>
    <mergeCell ref="B9:D9"/>
    <mergeCell ref="E9:G9"/>
    <mergeCell ref="H9:J9"/>
    <mergeCell ref="K9:M9"/>
    <mergeCell ref="N9:P9"/>
    <mergeCell ref="Q9:S9"/>
    <mergeCell ref="B10:D10"/>
    <mergeCell ref="E10:G10"/>
    <mergeCell ref="H10:J10"/>
    <mergeCell ref="K10:M10"/>
    <mergeCell ref="N10:P10"/>
    <mergeCell ref="B8:D8"/>
    <mergeCell ref="Q8:S8"/>
    <mergeCell ref="A1:S2"/>
    <mergeCell ref="A3:S3"/>
    <mergeCell ref="A4:S4"/>
    <mergeCell ref="K7:M7"/>
    <mergeCell ref="N7:P7"/>
    <mergeCell ref="E8:G8"/>
    <mergeCell ref="H8:J8"/>
    <mergeCell ref="K8:M8"/>
    <mergeCell ref="N8:P8"/>
    <mergeCell ref="Q7:S7"/>
    <mergeCell ref="Q5:S5"/>
    <mergeCell ref="B6:D6"/>
    <mergeCell ref="E6:G6"/>
    <mergeCell ref="H6:J6"/>
  </mergeCells>
  <pageMargins left="0.7" right="0.7" top="0.75" bottom="0.75" header="0.3" footer="0.3"/>
  <pageSetup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5DA8-F313-4AC8-9EA8-20FC209362C4}">
  <sheetPr>
    <tabColor rgb="FFFFFF00"/>
  </sheetPr>
  <dimension ref="A1:D36"/>
  <sheetViews>
    <sheetView workbookViewId="0">
      <selection activeCell="E18" sqref="E18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857</v>
      </c>
      <c r="C5" s="102"/>
      <c r="D5" s="103"/>
    </row>
    <row r="6" spans="1:4" x14ac:dyDescent="0.45">
      <c r="A6" s="61" t="s">
        <v>0</v>
      </c>
      <c r="B6" s="87" t="s">
        <v>123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4.1934582051998882E-4</v>
      </c>
      <c r="C12" s="3">
        <v>5.5294442908487699E-4</v>
      </c>
      <c r="D12" s="6">
        <v>2.827254735651682E-4</v>
      </c>
    </row>
    <row r="13" spans="1:4" x14ac:dyDescent="0.45">
      <c r="A13" s="61" t="s">
        <v>72</v>
      </c>
      <c r="B13" s="23">
        <v>5.5912776069331842E-4</v>
      </c>
      <c r="C13" s="3">
        <v>5.5294442908487699E-4</v>
      </c>
      <c r="D13" s="6">
        <v>5.654509471303364E-4</v>
      </c>
    </row>
    <row r="14" spans="1:4" x14ac:dyDescent="0.45">
      <c r="A14" s="61" t="s">
        <v>73</v>
      </c>
      <c r="B14" s="23">
        <v>5.5912776069331842E-4</v>
      </c>
      <c r="C14" s="3">
        <v>5.5294442908487699E-4</v>
      </c>
      <c r="D14" s="6">
        <v>5.654509471303364E-4</v>
      </c>
    </row>
    <row r="15" spans="1:4" x14ac:dyDescent="0.45">
      <c r="A15" s="61" t="s">
        <v>74</v>
      </c>
      <c r="B15" s="23">
        <v>4.1934582051998882E-4</v>
      </c>
      <c r="C15" s="3">
        <v>5.5294442908487699E-4</v>
      </c>
      <c r="D15" s="6">
        <v>2.827254735651682E-4</v>
      </c>
    </row>
    <row r="16" spans="1:4" x14ac:dyDescent="0.45">
      <c r="A16" s="61" t="s">
        <v>75</v>
      </c>
      <c r="B16" s="23">
        <v>9.7847358121330719E-4</v>
      </c>
      <c r="C16" s="3">
        <v>1.3823610727121925E-3</v>
      </c>
      <c r="D16" s="6">
        <v>5.654509471303364E-4</v>
      </c>
    </row>
    <row r="17" spans="1:4" x14ac:dyDescent="0.45">
      <c r="A17" s="61" t="s">
        <v>76</v>
      </c>
      <c r="B17" s="23">
        <v>2.2365110427732737E-3</v>
      </c>
      <c r="C17" s="3">
        <v>2.764722145424385E-3</v>
      </c>
      <c r="D17" s="6">
        <v>1.6963528413910093E-3</v>
      </c>
    </row>
    <row r="18" spans="1:4" x14ac:dyDescent="0.45">
      <c r="A18" s="61" t="s">
        <v>77</v>
      </c>
      <c r="B18" s="23">
        <v>1.5515795359239587E-2</v>
      </c>
      <c r="C18" s="3">
        <v>1.7694221730716064E-2</v>
      </c>
      <c r="D18" s="6">
        <v>1.3288097257562907E-2</v>
      </c>
    </row>
    <row r="19" spans="1:4" x14ac:dyDescent="0.45">
      <c r="A19" s="61" t="s">
        <v>78</v>
      </c>
      <c r="B19" s="23">
        <v>2.8934861615879229E-2</v>
      </c>
      <c r="C19" s="3">
        <v>3.1517832457837985E-2</v>
      </c>
      <c r="D19" s="6">
        <v>2.6293469041560644E-2</v>
      </c>
    </row>
    <row r="20" spans="1:4" x14ac:dyDescent="0.45">
      <c r="A20" s="61" t="s">
        <v>79</v>
      </c>
      <c r="B20" s="23">
        <v>3.6483086385239026E-2</v>
      </c>
      <c r="C20" s="3">
        <v>3.8153165606856512E-2</v>
      </c>
      <c r="D20" s="6">
        <v>3.477523324851569E-2</v>
      </c>
    </row>
    <row r="21" spans="1:4" x14ac:dyDescent="0.45">
      <c r="A21" s="61" t="s">
        <v>80</v>
      </c>
      <c r="B21" s="23">
        <v>4.948280682135868E-2</v>
      </c>
      <c r="C21" s="3">
        <v>5.5294442908487694E-2</v>
      </c>
      <c r="D21" s="6">
        <v>4.3539722929035907E-2</v>
      </c>
    </row>
    <row r="22" spans="1:4" x14ac:dyDescent="0.45">
      <c r="A22" s="61" t="s">
        <v>81</v>
      </c>
      <c r="B22" s="23">
        <v>7.1009225608051438E-2</v>
      </c>
      <c r="C22" s="3">
        <v>7.6582803428255464E-2</v>
      </c>
      <c r="D22" s="6">
        <v>6.530958439355386E-2</v>
      </c>
    </row>
    <row r="23" spans="1:4" x14ac:dyDescent="0.45">
      <c r="A23" s="61" t="s">
        <v>82</v>
      </c>
      <c r="B23" s="23">
        <v>8.1492871121051164E-2</v>
      </c>
      <c r="C23" s="3">
        <v>8.6535803151783247E-2</v>
      </c>
      <c r="D23" s="6">
        <v>7.6335877862595422E-2</v>
      </c>
    </row>
    <row r="24" spans="1:4" x14ac:dyDescent="0.45">
      <c r="A24" s="61" t="s">
        <v>83</v>
      </c>
      <c r="B24" s="23">
        <v>8.2890690522784458E-2</v>
      </c>
      <c r="C24" s="3">
        <v>7.8518108930052524E-2</v>
      </c>
      <c r="D24" s="6">
        <v>8.7362171331636984E-2</v>
      </c>
    </row>
    <row r="25" spans="1:4" x14ac:dyDescent="0.45">
      <c r="A25" s="61" t="s">
        <v>84</v>
      </c>
      <c r="B25" s="23">
        <v>8.9460441710930955E-2</v>
      </c>
      <c r="C25" s="3">
        <v>8.8194636439037882E-2</v>
      </c>
      <c r="D25" s="6">
        <v>9.0754877014419005E-2</v>
      </c>
    </row>
    <row r="26" spans="1:4" x14ac:dyDescent="0.45">
      <c r="A26" s="61" t="s">
        <v>85</v>
      </c>
      <c r="B26" s="23">
        <v>8.7783058428850994E-2</v>
      </c>
      <c r="C26" s="3">
        <v>8.4600497649986173E-2</v>
      </c>
      <c r="D26" s="6">
        <v>9.1037602487984162E-2</v>
      </c>
    </row>
    <row r="27" spans="1:4" x14ac:dyDescent="0.45">
      <c r="A27" s="61" t="s">
        <v>86</v>
      </c>
      <c r="B27" s="23">
        <v>8.0374615599664523E-2</v>
      </c>
      <c r="C27" s="3">
        <v>8.1282831075476916E-2</v>
      </c>
      <c r="D27" s="6">
        <v>7.9445858071812273E-2</v>
      </c>
    </row>
    <row r="28" spans="1:4" x14ac:dyDescent="0.45">
      <c r="A28" s="61" t="s">
        <v>87</v>
      </c>
      <c r="B28" s="23">
        <v>7.6600503214984628E-2</v>
      </c>
      <c r="C28" s="3">
        <v>7.3818081282831072E-2</v>
      </c>
      <c r="D28" s="6">
        <v>7.9445858071812273E-2</v>
      </c>
    </row>
    <row r="29" spans="1:4" x14ac:dyDescent="0.45">
      <c r="A29" s="61" t="s">
        <v>88</v>
      </c>
      <c r="B29" s="23">
        <v>8.0374615599664523E-2</v>
      </c>
      <c r="C29" s="3">
        <v>8.1559303290019355E-2</v>
      </c>
      <c r="D29" s="6">
        <v>7.9163132598247102E-2</v>
      </c>
    </row>
    <row r="30" spans="1:4" x14ac:dyDescent="0.45">
      <c r="A30" s="61" t="s">
        <v>89</v>
      </c>
      <c r="B30" s="23">
        <v>8.7363712608331007E-2</v>
      </c>
      <c r="C30" s="3">
        <v>8.542991429361349E-2</v>
      </c>
      <c r="D30" s="6">
        <v>8.9341249646593152E-2</v>
      </c>
    </row>
    <row r="31" spans="1:4" x14ac:dyDescent="0.45">
      <c r="A31" s="61" t="s">
        <v>90</v>
      </c>
      <c r="B31" s="23">
        <v>6.7794240984064863E-2</v>
      </c>
      <c r="C31" s="3">
        <v>6.662980370472768E-2</v>
      </c>
      <c r="D31" s="6">
        <v>6.8985015549901052E-2</v>
      </c>
    </row>
    <row r="32" spans="1:4" x14ac:dyDescent="0.45">
      <c r="A32" s="61" t="s">
        <v>91</v>
      </c>
      <c r="B32" s="23">
        <v>5.1439753983785294E-2</v>
      </c>
      <c r="C32" s="3">
        <v>4.2023776610450647E-2</v>
      </c>
      <c r="D32" s="6">
        <v>6.1068702290076333E-2</v>
      </c>
    </row>
    <row r="33" spans="1:4" x14ac:dyDescent="0.45">
      <c r="A33" s="61" t="s">
        <v>92</v>
      </c>
      <c r="B33" s="23">
        <v>6.7095331283198211E-3</v>
      </c>
      <c r="C33" s="3">
        <v>5.5294442908487701E-3</v>
      </c>
      <c r="D33" s="6">
        <v>7.9163132598247098E-3</v>
      </c>
    </row>
    <row r="34" spans="1:4" x14ac:dyDescent="0.45">
      <c r="A34" s="61" t="s">
        <v>93</v>
      </c>
      <c r="B34" s="23">
        <v>5.5912776069331842E-4</v>
      </c>
      <c r="C34" s="3">
        <v>0</v>
      </c>
      <c r="D34" s="6">
        <v>1.1309018942606728E-3</v>
      </c>
    </row>
    <row r="35" spans="1:4" ht="14.65" thickBot="1" x14ac:dyDescent="0.5">
      <c r="A35" s="63" t="s">
        <v>94</v>
      </c>
      <c r="B35" s="24">
        <v>5.5912776069331842E-4</v>
      </c>
      <c r="C35" s="8">
        <v>2.7647221454243849E-4</v>
      </c>
      <c r="D35" s="9">
        <v>8.4817642069550466E-4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402E-5B04-4E1D-802B-60AFE9A4D601}">
  <sheetPr>
    <tabColor rgb="FFFFFF00"/>
  </sheetPr>
  <dimension ref="A1:P36"/>
  <sheetViews>
    <sheetView topLeftCell="C1" workbookViewId="0">
      <selection activeCell="N43" sqref="N43"/>
    </sheetView>
  </sheetViews>
  <sheetFormatPr defaultRowHeight="14.25" x14ac:dyDescent="0.45"/>
  <cols>
    <col min="1" max="1" width="17.796875" customWidth="1"/>
    <col min="2" max="16" width="17.796875" style="1" customWidth="1"/>
  </cols>
  <sheetData>
    <row r="1" spans="1:16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</row>
    <row r="2" spans="1:16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</row>
    <row r="3" spans="1:16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16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</row>
    <row r="5" spans="1:16" x14ac:dyDescent="0.45">
      <c r="A5" s="36" t="s">
        <v>68</v>
      </c>
      <c r="B5" s="108">
        <v>861</v>
      </c>
      <c r="C5" s="102"/>
      <c r="D5" s="103"/>
      <c r="E5" s="101">
        <v>861</v>
      </c>
      <c r="F5" s="102"/>
      <c r="G5" s="106"/>
      <c r="H5" s="108">
        <v>861</v>
      </c>
      <c r="I5" s="102"/>
      <c r="J5" s="103"/>
      <c r="K5" s="101">
        <v>861</v>
      </c>
      <c r="L5" s="102"/>
      <c r="M5" s="106"/>
      <c r="N5" s="108">
        <v>861</v>
      </c>
      <c r="O5" s="102"/>
      <c r="P5" s="103"/>
    </row>
    <row r="6" spans="1:16" x14ac:dyDescent="0.45">
      <c r="A6" s="37" t="s">
        <v>0</v>
      </c>
      <c r="B6" s="99" t="s">
        <v>69</v>
      </c>
      <c r="C6" s="88"/>
      <c r="D6" s="89"/>
      <c r="E6" s="87" t="s">
        <v>69</v>
      </c>
      <c r="F6" s="88"/>
      <c r="G6" s="104"/>
      <c r="H6" s="99" t="s">
        <v>69</v>
      </c>
      <c r="I6" s="88"/>
      <c r="J6" s="89"/>
      <c r="K6" s="87" t="s">
        <v>69</v>
      </c>
      <c r="L6" s="88"/>
      <c r="M6" s="104"/>
      <c r="N6" s="99" t="s">
        <v>69</v>
      </c>
      <c r="O6" s="88"/>
      <c r="P6" s="89"/>
    </row>
    <row r="7" spans="1:16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  <c r="K7" s="87" t="s">
        <v>56</v>
      </c>
      <c r="L7" s="88"/>
      <c r="M7" s="104"/>
      <c r="N7" s="99" t="s">
        <v>56</v>
      </c>
      <c r="O7" s="88"/>
      <c r="P7" s="89"/>
    </row>
    <row r="8" spans="1:16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  <c r="K8" s="87" t="s">
        <v>60</v>
      </c>
      <c r="L8" s="88"/>
      <c r="M8" s="104"/>
      <c r="N8" s="99" t="s">
        <v>63</v>
      </c>
      <c r="O8" s="88"/>
      <c r="P8" s="89"/>
    </row>
    <row r="9" spans="1:16" ht="14.65" thickBot="1" x14ac:dyDescent="0.5">
      <c r="A9" s="38" t="s">
        <v>64</v>
      </c>
      <c r="B9" s="100">
        <v>3</v>
      </c>
      <c r="C9" s="91"/>
      <c r="D9" s="92"/>
      <c r="E9" s="90">
        <v>3</v>
      </c>
      <c r="F9" s="91"/>
      <c r="G9" s="105"/>
      <c r="H9" s="100">
        <v>2</v>
      </c>
      <c r="I9" s="91"/>
      <c r="J9" s="92"/>
      <c r="K9" s="90">
        <v>1</v>
      </c>
      <c r="L9" s="91"/>
      <c r="M9" s="105"/>
      <c r="N9" s="100">
        <v>1</v>
      </c>
      <c r="O9" s="91"/>
      <c r="P9" s="92"/>
    </row>
    <row r="10" spans="1:16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101" t="s">
        <v>134</v>
      </c>
      <c r="L10" s="102"/>
      <c r="M10" s="106"/>
      <c r="N10" s="108" t="s">
        <v>134</v>
      </c>
      <c r="O10" s="102"/>
      <c r="P10" s="103"/>
    </row>
    <row r="11" spans="1:16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14" t="s">
        <v>67</v>
      </c>
      <c r="N11" s="10" t="s">
        <v>95</v>
      </c>
      <c r="O11" s="2" t="s">
        <v>66</v>
      </c>
      <c r="P11" s="5" t="s">
        <v>67</v>
      </c>
    </row>
    <row r="12" spans="1:16" x14ac:dyDescent="0.45">
      <c r="A12" s="37" t="s">
        <v>71</v>
      </c>
      <c r="B12" s="25">
        <v>1.6218232537018116E-4</v>
      </c>
      <c r="C12" s="3">
        <v>0</v>
      </c>
      <c r="D12" s="6">
        <v>3.2404406999351912E-4</v>
      </c>
      <c r="E12" s="23">
        <v>7.383252322648126E-4</v>
      </c>
      <c r="F12" s="3">
        <v>7.3791661542245727E-4</v>
      </c>
      <c r="G12" s="20">
        <v>7.3873430189608474E-4</v>
      </c>
      <c r="H12" s="25">
        <v>0</v>
      </c>
      <c r="I12" s="3">
        <v>0</v>
      </c>
      <c r="J12" s="6">
        <v>0</v>
      </c>
      <c r="K12" s="23">
        <v>0</v>
      </c>
      <c r="L12" s="3">
        <v>0</v>
      </c>
      <c r="M12" s="20">
        <v>0</v>
      </c>
      <c r="N12" s="25">
        <v>0</v>
      </c>
      <c r="O12" s="3">
        <v>0</v>
      </c>
      <c r="P12" s="6">
        <v>0</v>
      </c>
    </row>
    <row r="13" spans="1:16" x14ac:dyDescent="0.45">
      <c r="A13" s="37" t="s">
        <v>72</v>
      </c>
      <c r="B13" s="25">
        <v>4.7032874357352534E-4</v>
      </c>
      <c r="C13" s="3">
        <v>5.5196597292119876E-4</v>
      </c>
      <c r="D13" s="6">
        <v>3.8885288399222292E-4</v>
      </c>
      <c r="E13" s="23">
        <v>2.4610841075493753E-4</v>
      </c>
      <c r="F13" s="3">
        <v>2.4597220514081911E-4</v>
      </c>
      <c r="G13" s="20">
        <v>2.4624476729869491E-4</v>
      </c>
      <c r="H13" s="25">
        <v>1.4528548597995061E-4</v>
      </c>
      <c r="I13" s="3">
        <v>0</v>
      </c>
      <c r="J13" s="6">
        <v>2.906131938390003E-4</v>
      </c>
      <c r="K13" s="23">
        <v>0</v>
      </c>
      <c r="L13" s="3">
        <v>0</v>
      </c>
      <c r="M13" s="20">
        <v>0</v>
      </c>
      <c r="N13" s="25">
        <v>0</v>
      </c>
      <c r="O13" s="3">
        <v>0</v>
      </c>
      <c r="P13" s="6">
        <v>0</v>
      </c>
    </row>
    <row r="14" spans="1:16" x14ac:dyDescent="0.45">
      <c r="A14" s="37" t="s">
        <v>73</v>
      </c>
      <c r="B14" s="25">
        <v>5.6763813879563403E-4</v>
      </c>
      <c r="C14" s="3">
        <v>4.8702879963635179E-4</v>
      </c>
      <c r="D14" s="6">
        <v>6.4808813998703824E-4</v>
      </c>
      <c r="E14" s="23">
        <v>1.2305420537746877E-4</v>
      </c>
      <c r="F14" s="3">
        <v>1.2298610257040955E-4</v>
      </c>
      <c r="G14" s="20">
        <v>1.2312238364934746E-4</v>
      </c>
      <c r="H14" s="25">
        <v>0</v>
      </c>
      <c r="I14" s="3">
        <v>0</v>
      </c>
      <c r="J14" s="6">
        <v>0</v>
      </c>
      <c r="K14" s="23">
        <v>0</v>
      </c>
      <c r="L14" s="3">
        <v>0</v>
      </c>
      <c r="M14" s="20">
        <v>0</v>
      </c>
      <c r="N14" s="25">
        <v>0</v>
      </c>
      <c r="O14" s="3">
        <v>0</v>
      </c>
      <c r="P14" s="6">
        <v>0</v>
      </c>
    </row>
    <row r="15" spans="1:16" x14ac:dyDescent="0.45">
      <c r="A15" s="37" t="s">
        <v>74</v>
      </c>
      <c r="B15" s="25">
        <v>1.2001492077393407E-3</v>
      </c>
      <c r="C15" s="3">
        <v>2.0779895451151012E-3</v>
      </c>
      <c r="D15" s="6">
        <v>3.2404406999351912E-4</v>
      </c>
      <c r="E15" s="23">
        <v>3.691626161324063E-4</v>
      </c>
      <c r="F15" s="3">
        <v>3.6895830771122864E-4</v>
      </c>
      <c r="G15" s="20">
        <v>3.6936715094804237E-4</v>
      </c>
      <c r="H15" s="25">
        <v>1.0169984018596541E-3</v>
      </c>
      <c r="I15" s="3">
        <v>2.0337013364323067E-3</v>
      </c>
      <c r="J15" s="6">
        <v>0</v>
      </c>
      <c r="K15" s="23">
        <v>0</v>
      </c>
      <c r="L15" s="3">
        <v>0</v>
      </c>
      <c r="M15" s="20">
        <v>0</v>
      </c>
      <c r="N15" s="25">
        <v>0</v>
      </c>
      <c r="O15" s="3">
        <v>0</v>
      </c>
      <c r="P15" s="6">
        <v>0</v>
      </c>
    </row>
    <row r="16" spans="1:16" x14ac:dyDescent="0.45">
      <c r="A16" s="37" t="s">
        <v>75</v>
      </c>
      <c r="B16" s="25">
        <v>1.8488785092200654E-3</v>
      </c>
      <c r="C16" s="3">
        <v>2.7598298646059937E-3</v>
      </c>
      <c r="D16" s="6">
        <v>9.3972780298120552E-4</v>
      </c>
      <c r="E16" s="23">
        <v>4.9221682150987506E-4</v>
      </c>
      <c r="F16" s="3">
        <v>8.6090271799286685E-4</v>
      </c>
      <c r="G16" s="20">
        <v>1.2312238364934746E-4</v>
      </c>
      <c r="H16" s="25">
        <v>1.4528548597995061E-3</v>
      </c>
      <c r="I16" s="3">
        <v>2.6147588611272515E-3</v>
      </c>
      <c r="J16" s="6">
        <v>2.906131938390003E-4</v>
      </c>
      <c r="K16" s="23">
        <v>0</v>
      </c>
      <c r="L16" s="3">
        <v>0</v>
      </c>
      <c r="M16" s="20">
        <v>0</v>
      </c>
      <c r="N16" s="25">
        <v>0</v>
      </c>
      <c r="O16" s="3">
        <v>0</v>
      </c>
      <c r="P16" s="6">
        <v>0</v>
      </c>
    </row>
    <row r="17" spans="1:16" x14ac:dyDescent="0.45">
      <c r="A17" s="37" t="s">
        <v>76</v>
      </c>
      <c r="B17" s="25">
        <v>3.2760829724776596E-3</v>
      </c>
      <c r="C17" s="3">
        <v>4.8378194097210949E-3</v>
      </c>
      <c r="D17" s="6">
        <v>1.7174335709656513E-3</v>
      </c>
      <c r="E17" s="23">
        <v>1.4151233618408909E-3</v>
      </c>
      <c r="F17" s="3">
        <v>1.8447915385561432E-3</v>
      </c>
      <c r="G17" s="20">
        <v>9.8497906919477966E-4</v>
      </c>
      <c r="H17" s="25">
        <v>7.2642742989975303E-4</v>
      </c>
      <c r="I17" s="3">
        <v>8.7158628704241722E-4</v>
      </c>
      <c r="J17" s="6">
        <v>5.812263876780006E-4</v>
      </c>
      <c r="K17" s="23">
        <v>0</v>
      </c>
      <c r="L17" s="3">
        <v>0</v>
      </c>
      <c r="M17" s="20">
        <v>0</v>
      </c>
      <c r="N17" s="25">
        <v>0</v>
      </c>
      <c r="O17" s="3">
        <v>0</v>
      </c>
      <c r="P17" s="6">
        <v>0</v>
      </c>
    </row>
    <row r="18" spans="1:16" x14ac:dyDescent="0.45">
      <c r="A18" s="37" t="s">
        <v>77</v>
      </c>
      <c r="B18" s="25">
        <v>1.2812403704244312E-2</v>
      </c>
      <c r="C18" s="3">
        <v>2.2435793369914605E-2</v>
      </c>
      <c r="D18" s="6">
        <v>3.2080362929358393E-3</v>
      </c>
      <c r="E18" s="23">
        <v>3.0763551344367194E-3</v>
      </c>
      <c r="F18" s="3">
        <v>4.6734718976755626E-3</v>
      </c>
      <c r="G18" s="20">
        <v>1.4774686037921695E-3</v>
      </c>
      <c r="H18" s="25">
        <v>1.5981403457794566E-3</v>
      </c>
      <c r="I18" s="3">
        <v>2.6147588611272515E-3</v>
      </c>
      <c r="J18" s="6">
        <v>5.812263876780006E-4</v>
      </c>
      <c r="K18" s="23">
        <v>0</v>
      </c>
      <c r="L18" s="3">
        <v>0</v>
      </c>
      <c r="M18" s="20">
        <v>0</v>
      </c>
      <c r="N18" s="25">
        <v>0</v>
      </c>
      <c r="O18" s="3">
        <v>0</v>
      </c>
      <c r="P18" s="6">
        <v>0</v>
      </c>
    </row>
    <row r="19" spans="1:16" x14ac:dyDescent="0.45">
      <c r="A19" s="37" t="s">
        <v>78</v>
      </c>
      <c r="B19" s="25">
        <v>1.6558815420295497E-2</v>
      </c>
      <c r="C19" s="3">
        <v>2.7760641579272053E-2</v>
      </c>
      <c r="D19" s="6">
        <v>5.3791315618924177E-3</v>
      </c>
      <c r="E19" s="23">
        <v>1.1382513997415862E-2</v>
      </c>
      <c r="F19" s="3">
        <v>1.9923748616406348E-2</v>
      </c>
      <c r="G19" s="20">
        <v>2.8318148239349912E-3</v>
      </c>
      <c r="H19" s="25">
        <v>3.9227081214586665E-3</v>
      </c>
      <c r="I19" s="3">
        <v>5.810575246949448E-3</v>
      </c>
      <c r="J19" s="6">
        <v>2.0342923568730021E-3</v>
      </c>
      <c r="K19" s="23">
        <v>0</v>
      </c>
      <c r="L19" s="3">
        <v>0</v>
      </c>
      <c r="M19" s="20">
        <v>0</v>
      </c>
      <c r="N19" s="25">
        <v>0</v>
      </c>
      <c r="O19" s="3">
        <v>0</v>
      </c>
      <c r="P19" s="6">
        <v>0</v>
      </c>
    </row>
    <row r="20" spans="1:16" x14ac:dyDescent="0.45">
      <c r="A20" s="37" t="s">
        <v>79</v>
      </c>
      <c r="B20" s="25">
        <v>2.171621336706726E-2</v>
      </c>
      <c r="C20" s="3">
        <v>3.2825741095490107E-2</v>
      </c>
      <c r="D20" s="6">
        <v>1.0628645495787426E-2</v>
      </c>
      <c r="E20" s="23">
        <v>2.7256506491109334E-2</v>
      </c>
      <c r="F20" s="3">
        <v>3.5051039232566722E-2</v>
      </c>
      <c r="G20" s="20">
        <v>1.9453336616596897E-2</v>
      </c>
      <c r="H20" s="25">
        <v>1.3656835682115356E-2</v>
      </c>
      <c r="I20" s="3">
        <v>2.295177222545032E-2</v>
      </c>
      <c r="J20" s="6">
        <v>4.3591979075850041E-3</v>
      </c>
      <c r="K20" s="23">
        <v>1.9834221432800475E-2</v>
      </c>
      <c r="L20" s="3">
        <v>3.7462235649546829E-2</v>
      </c>
      <c r="M20" s="20">
        <v>2.901915264074289E-3</v>
      </c>
      <c r="N20" s="25">
        <v>0</v>
      </c>
      <c r="O20" s="3">
        <v>0</v>
      </c>
      <c r="P20" s="6">
        <v>0</v>
      </c>
    </row>
    <row r="21" spans="1:16" x14ac:dyDescent="0.45">
      <c r="A21" s="37" t="s">
        <v>80</v>
      </c>
      <c r="B21" s="25">
        <v>4.065910897030442E-2</v>
      </c>
      <c r="C21" s="3">
        <v>4.8345725510568524E-2</v>
      </c>
      <c r="D21" s="6">
        <v>3.2987686325340243E-2</v>
      </c>
      <c r="E21" s="23">
        <v>5.6481880268258171E-2</v>
      </c>
      <c r="F21" s="3">
        <v>7.0839995080555898E-2</v>
      </c>
      <c r="G21" s="20">
        <v>4.2107855208076826E-2</v>
      </c>
      <c r="H21" s="25">
        <v>3.7483655382827254E-2</v>
      </c>
      <c r="I21" s="3">
        <v>5.5781522370714702E-2</v>
      </c>
      <c r="J21" s="6">
        <v>1.9180470793374021E-2</v>
      </c>
      <c r="K21" s="23">
        <v>3.9964476021314387E-2</v>
      </c>
      <c r="L21" s="3">
        <v>6.1027190332326287E-2</v>
      </c>
      <c r="M21" s="20">
        <v>1.9733023795705164E-2</v>
      </c>
      <c r="N21" s="25">
        <v>7.4074074074074077E-3</v>
      </c>
      <c r="O21" s="3">
        <v>1.1618900077459334E-2</v>
      </c>
      <c r="P21" s="6">
        <v>3.1397174254317113E-3</v>
      </c>
    </row>
    <row r="22" spans="1:16" x14ac:dyDescent="0.45">
      <c r="A22" s="37" t="s">
        <v>81</v>
      </c>
      <c r="B22" s="25">
        <v>5.6731377414489373E-2</v>
      </c>
      <c r="C22" s="3">
        <v>6.4482613071852976E-2</v>
      </c>
      <c r="D22" s="6">
        <v>4.8995463383020084E-2</v>
      </c>
      <c r="E22" s="23">
        <v>7.7893312003937731E-2</v>
      </c>
      <c r="F22" s="3">
        <v>8.7320132824990779E-2</v>
      </c>
      <c r="G22" s="20">
        <v>6.8456045309037178E-2</v>
      </c>
      <c r="H22" s="25">
        <v>7.3078599447915157E-2</v>
      </c>
      <c r="I22" s="3">
        <v>8.5996513654851836E-2</v>
      </c>
      <c r="J22" s="6">
        <v>6.015693112467306E-2</v>
      </c>
      <c r="K22" s="23">
        <v>7.3120189461219662E-2</v>
      </c>
      <c r="L22" s="3">
        <v>8.8821752265861031E-2</v>
      </c>
      <c r="M22" s="20">
        <v>5.8038305281485777E-2</v>
      </c>
      <c r="N22" s="25">
        <v>7.7192982456140355E-2</v>
      </c>
      <c r="O22" s="3">
        <v>0.11696359411309062</v>
      </c>
      <c r="P22" s="6">
        <v>3.6891679748822605E-2</v>
      </c>
    </row>
    <row r="23" spans="1:16" x14ac:dyDescent="0.45">
      <c r="A23" s="37" t="s">
        <v>82</v>
      </c>
      <c r="B23" s="25">
        <v>8.0166723430480549E-2</v>
      </c>
      <c r="C23" s="3">
        <v>8.4353388097016133E-2</v>
      </c>
      <c r="D23" s="6">
        <v>7.5988334413480227E-2</v>
      </c>
      <c r="E23" s="23">
        <v>0.10213499046329909</v>
      </c>
      <c r="F23" s="3">
        <v>0.10958061739023491</v>
      </c>
      <c r="G23" s="20">
        <v>9.4681113026348185E-2</v>
      </c>
      <c r="H23" s="25">
        <v>0.1096905419148627</v>
      </c>
      <c r="I23" s="3">
        <v>0.11940732132481116</v>
      </c>
      <c r="J23" s="6">
        <v>9.99709386806161E-2</v>
      </c>
      <c r="K23" s="23">
        <v>9.2954410894020137E-2</v>
      </c>
      <c r="L23" s="3">
        <v>9.7280966767371607E-2</v>
      </c>
      <c r="M23" s="20">
        <v>8.8798607080673247E-2</v>
      </c>
      <c r="N23" s="25">
        <v>0.1165692007797271</v>
      </c>
      <c r="O23" s="3">
        <v>0.13555383423702555</v>
      </c>
      <c r="P23" s="6">
        <v>9.7331240188383045E-2</v>
      </c>
    </row>
    <row r="24" spans="1:16" x14ac:dyDescent="0.45">
      <c r="A24" s="37" t="s">
        <v>83</v>
      </c>
      <c r="B24" s="25">
        <v>9.3854911691723844E-2</v>
      </c>
      <c r="C24" s="3">
        <v>9.6366765154712819E-2</v>
      </c>
      <c r="D24" s="6">
        <v>9.1348023331173034E-2</v>
      </c>
      <c r="E24" s="23">
        <v>0.10570356241924568</v>
      </c>
      <c r="F24" s="3">
        <v>0.10699790923625631</v>
      </c>
      <c r="G24" s="20">
        <v>0.10440778133464663</v>
      </c>
      <c r="H24" s="25">
        <v>0.12363794856893796</v>
      </c>
      <c r="I24" s="3">
        <v>0.13422428820453225</v>
      </c>
      <c r="J24" s="6">
        <v>0.11304853240337111</v>
      </c>
      <c r="K24" s="23">
        <v>0.10242747187685021</v>
      </c>
      <c r="L24" s="3">
        <v>0.1202416918429003</v>
      </c>
      <c r="M24" s="20">
        <v>8.5316308763784099E-2</v>
      </c>
      <c r="N24" s="25">
        <v>0.13021442495126706</v>
      </c>
      <c r="O24" s="3">
        <v>0.14329976762199845</v>
      </c>
      <c r="P24" s="6">
        <v>0.11695447409733124</v>
      </c>
    </row>
    <row r="25" spans="1:16" x14ac:dyDescent="0.45">
      <c r="A25" s="37" t="s">
        <v>84</v>
      </c>
      <c r="B25" s="25">
        <v>8.621612416678831E-2</v>
      </c>
      <c r="C25" s="3">
        <v>8.8509367187246349E-2</v>
      </c>
      <c r="D25" s="6">
        <v>8.3927414128321456E-2</v>
      </c>
      <c r="E25" s="23">
        <v>0.10373469513320618</v>
      </c>
      <c r="F25" s="3">
        <v>0.10478415938998893</v>
      </c>
      <c r="G25" s="20">
        <v>0.10268406796355578</v>
      </c>
      <c r="H25" s="25">
        <v>0.13438907453145429</v>
      </c>
      <c r="I25" s="3">
        <v>0.13829169087739687</v>
      </c>
      <c r="J25" s="6">
        <v>0.13048532403371113</v>
      </c>
      <c r="K25" s="23">
        <v>0.11042036708111308</v>
      </c>
      <c r="L25" s="3">
        <v>0.11782477341389729</v>
      </c>
      <c r="M25" s="20">
        <v>0.1033081834010447</v>
      </c>
      <c r="N25" s="25">
        <v>0.15399610136452241</v>
      </c>
      <c r="O25" s="3">
        <v>0.15027110766847404</v>
      </c>
      <c r="P25" s="6">
        <v>0.15777080062794349</v>
      </c>
    </row>
    <row r="26" spans="1:16" x14ac:dyDescent="0.45">
      <c r="A26" s="37" t="s">
        <v>85</v>
      </c>
      <c r="B26" s="25">
        <v>9.258988955383643E-2</v>
      </c>
      <c r="C26" s="3">
        <v>9.2827689210688652E-2</v>
      </c>
      <c r="D26" s="6">
        <v>9.2352559948152946E-2</v>
      </c>
      <c r="E26" s="23">
        <v>0.1068110502676429</v>
      </c>
      <c r="F26" s="3">
        <v>0.10675193703111549</v>
      </c>
      <c r="G26" s="20">
        <v>0.10687022900763359</v>
      </c>
      <c r="H26" s="25">
        <v>0.13918349556879267</v>
      </c>
      <c r="I26" s="3">
        <v>0.131609529343405</v>
      </c>
      <c r="J26" s="6">
        <v>0.14675966288869516</v>
      </c>
      <c r="K26" s="23">
        <v>0.10331557134399053</v>
      </c>
      <c r="L26" s="3">
        <v>0.10513595166163142</v>
      </c>
      <c r="M26" s="20">
        <v>0.10156703424260012</v>
      </c>
      <c r="N26" s="25">
        <v>0.15165692007797271</v>
      </c>
      <c r="O26" s="3">
        <v>0.13555383423702555</v>
      </c>
      <c r="P26" s="6">
        <v>0.16797488226059654</v>
      </c>
    </row>
    <row r="27" spans="1:16" x14ac:dyDescent="0.45">
      <c r="A27" s="37" t="s">
        <v>86</v>
      </c>
      <c r="B27" s="25">
        <v>8.9670607697173166E-2</v>
      </c>
      <c r="C27" s="3">
        <v>8.7015812201694853E-2</v>
      </c>
      <c r="D27" s="6">
        <v>9.2320155541153595E-2</v>
      </c>
      <c r="E27" s="23">
        <v>9.4074940011074873E-2</v>
      </c>
      <c r="F27" s="3">
        <v>8.8795966055835687E-2</v>
      </c>
      <c r="G27" s="20">
        <v>9.9359763605023396E-2</v>
      </c>
      <c r="H27" s="25">
        <v>0.11913409850355949</v>
      </c>
      <c r="I27" s="3">
        <v>0.11069145845438698</v>
      </c>
      <c r="J27" s="6">
        <v>0.12757919209532112</v>
      </c>
      <c r="K27" s="23">
        <v>0.10716400236826525</v>
      </c>
      <c r="L27" s="3">
        <v>8.3987915407854982E-2</v>
      </c>
      <c r="M27" s="20">
        <v>0.1294254207777133</v>
      </c>
      <c r="N27" s="25">
        <v>0.1446393762183236</v>
      </c>
      <c r="O27" s="3">
        <v>0.13865220759101471</v>
      </c>
      <c r="P27" s="6">
        <v>0.15070643642072212</v>
      </c>
    </row>
    <row r="28" spans="1:16" x14ac:dyDescent="0.45">
      <c r="A28" s="37" t="s">
        <v>87</v>
      </c>
      <c r="B28" s="25">
        <v>9.5557826108110755E-2</v>
      </c>
      <c r="C28" s="3">
        <v>8.8898990226955424E-2</v>
      </c>
      <c r="D28" s="6">
        <v>0.10220349967595592</v>
      </c>
      <c r="E28" s="23">
        <v>8.8475973666400046E-2</v>
      </c>
      <c r="F28" s="3">
        <v>8.2277702619603987E-2</v>
      </c>
      <c r="G28" s="20">
        <v>9.4681113026348185E-2</v>
      </c>
      <c r="H28" s="25">
        <v>9.8939415952346357E-2</v>
      </c>
      <c r="I28" s="3">
        <v>8.919233004067402E-2</v>
      </c>
      <c r="J28" s="6">
        <v>0.10868933449578611</v>
      </c>
      <c r="K28" s="23">
        <v>7.6376554174067496E-2</v>
      </c>
      <c r="L28" s="3">
        <v>6.6465256797583083E-2</v>
      </c>
      <c r="M28" s="20">
        <v>8.5896691816598952E-2</v>
      </c>
      <c r="N28" s="25">
        <v>9.0838206627680315E-2</v>
      </c>
      <c r="O28" s="3">
        <v>8.5979860573199077E-2</v>
      </c>
      <c r="P28" s="6">
        <v>9.5761381475667193E-2</v>
      </c>
    </row>
    <row r="29" spans="1:16" x14ac:dyDescent="0.45">
      <c r="A29" s="37" t="s">
        <v>88</v>
      </c>
      <c r="B29" s="25">
        <v>8.4107753936975962E-2</v>
      </c>
      <c r="C29" s="3">
        <v>6.9352901068216496E-2</v>
      </c>
      <c r="D29" s="6">
        <v>9.8833441348023326E-2</v>
      </c>
      <c r="E29" s="23">
        <v>7.0817695194733285E-2</v>
      </c>
      <c r="F29" s="3">
        <v>6.0878120772352724E-2</v>
      </c>
      <c r="G29" s="20">
        <v>8.076828367397193E-2</v>
      </c>
      <c r="H29" s="25">
        <v>7.6856022083393871E-2</v>
      </c>
      <c r="I29" s="3">
        <v>6.1011040092969204E-2</v>
      </c>
      <c r="J29" s="6">
        <v>9.2705608834641087E-2</v>
      </c>
      <c r="K29" s="23">
        <v>7.4008288928359978E-2</v>
      </c>
      <c r="L29" s="3">
        <v>6.5256797583081574E-2</v>
      </c>
      <c r="M29" s="20">
        <v>8.2414393499709804E-2</v>
      </c>
      <c r="N29" s="25">
        <v>6.5886939571150091E-2</v>
      </c>
      <c r="O29" s="3">
        <v>5.0348567002323777E-2</v>
      </c>
      <c r="P29" s="6">
        <v>8.1632653061224483E-2</v>
      </c>
    </row>
    <row r="30" spans="1:16" x14ac:dyDescent="0.45">
      <c r="A30" s="37" t="s">
        <v>89</v>
      </c>
      <c r="B30" s="25">
        <v>7.5252598971764062E-2</v>
      </c>
      <c r="C30" s="3">
        <v>7.4158251891295171E-2</v>
      </c>
      <c r="D30" s="6">
        <v>7.6344782890473098E-2</v>
      </c>
      <c r="E30" s="23">
        <v>5.6727988679013103E-2</v>
      </c>
      <c r="F30" s="3">
        <v>5.1654163079572012E-2</v>
      </c>
      <c r="G30" s="20">
        <v>6.1807436591972423E-2</v>
      </c>
      <c r="H30" s="25">
        <v>4.7363068429463896E-2</v>
      </c>
      <c r="I30" s="3">
        <v>2.8762347472399769E-2</v>
      </c>
      <c r="J30" s="6">
        <v>6.5969195001453068E-2</v>
      </c>
      <c r="K30" s="23">
        <v>6.9863824748371814E-2</v>
      </c>
      <c r="L30" s="3">
        <v>7.371601208459215E-2</v>
      </c>
      <c r="M30" s="20">
        <v>6.6163668020893796E-2</v>
      </c>
      <c r="N30" s="25">
        <v>4.7173489278752437E-2</v>
      </c>
      <c r="O30" s="3">
        <v>3.0209140201394268E-2</v>
      </c>
      <c r="P30" s="6">
        <v>6.4364207221350084E-2</v>
      </c>
    </row>
    <row r="31" spans="1:16" x14ac:dyDescent="0.45">
      <c r="A31" s="37" t="s">
        <v>90</v>
      </c>
      <c r="B31" s="25">
        <v>6.9770836374251938E-2</v>
      </c>
      <c r="C31" s="3">
        <v>6.5586545017695383E-2</v>
      </c>
      <c r="D31" s="6">
        <v>7.3946856772521052E-2</v>
      </c>
      <c r="E31" s="23">
        <v>4.5653110195040918E-2</v>
      </c>
      <c r="F31" s="3">
        <v>3.9970483335383104E-2</v>
      </c>
      <c r="G31" s="20">
        <v>5.134203398177789E-2</v>
      </c>
      <c r="H31" s="25">
        <v>1.2930408252215603E-2</v>
      </c>
      <c r="I31" s="3">
        <v>5.2295177222545031E-3</v>
      </c>
      <c r="J31" s="6">
        <v>2.0633536762569019E-2</v>
      </c>
      <c r="K31" s="23">
        <v>6.0094730609828298E-2</v>
      </c>
      <c r="L31" s="3">
        <v>5.6797583081570999E-2</v>
      </c>
      <c r="M31" s="20">
        <v>6.32617527568195E-2</v>
      </c>
      <c r="N31" s="25">
        <v>1.442495126705653E-2</v>
      </c>
      <c r="O31" s="3">
        <v>1.5491866769945779E-3</v>
      </c>
      <c r="P31" s="6">
        <v>2.7472527472527472E-2</v>
      </c>
    </row>
    <row r="32" spans="1:16" x14ac:dyDescent="0.45">
      <c r="A32" s="37" t="s">
        <v>91</v>
      </c>
      <c r="B32" s="25">
        <v>5.0244084399682129E-2</v>
      </c>
      <c r="C32" s="3">
        <v>4.0001298743465696E-2</v>
      </c>
      <c r="D32" s="6">
        <v>6.0466623460790667E-2</v>
      </c>
      <c r="E32" s="23">
        <v>3.1071186857810865E-2</v>
      </c>
      <c r="F32" s="3">
        <v>2.0415693026687984E-2</v>
      </c>
      <c r="G32" s="20">
        <v>4.1738488057128785E-2</v>
      </c>
      <c r="H32" s="25">
        <v>2.9057097195990121E-3</v>
      </c>
      <c r="I32" s="3">
        <v>2.0337013364323067E-3</v>
      </c>
      <c r="J32" s="6">
        <v>3.7779715199070039E-3</v>
      </c>
      <c r="K32" s="23">
        <v>5.2989934872705743E-2</v>
      </c>
      <c r="L32" s="3">
        <v>2.4773413897280966E-2</v>
      </c>
      <c r="M32" s="20">
        <v>8.0092861288450376E-2</v>
      </c>
      <c r="N32" s="25">
        <v>0</v>
      </c>
      <c r="O32" s="3">
        <v>0</v>
      </c>
      <c r="P32" s="6">
        <v>0</v>
      </c>
    </row>
    <row r="33" spans="1:16" x14ac:dyDescent="0.45">
      <c r="A33" s="37" t="s">
        <v>92</v>
      </c>
      <c r="B33" s="25">
        <v>1.7531909372516582E-2</v>
      </c>
      <c r="C33" s="3">
        <v>3.5066073573817333E-3</v>
      </c>
      <c r="D33" s="6">
        <v>3.1529488010369408E-2</v>
      </c>
      <c r="E33" s="23">
        <v>1.2243893435058143E-2</v>
      </c>
      <c r="F33" s="3">
        <v>3.197638666830648E-3</v>
      </c>
      <c r="G33" s="20">
        <v>2.130017237133711E-2</v>
      </c>
      <c r="H33" s="25">
        <v>5.8114194391980243E-4</v>
      </c>
      <c r="I33" s="3">
        <v>5.8105752469494478E-4</v>
      </c>
      <c r="J33" s="6">
        <v>5.812263876780006E-4</v>
      </c>
      <c r="K33" s="23">
        <v>1.7465956187092953E-2</v>
      </c>
      <c r="L33" s="3">
        <v>1.2084592145015106E-3</v>
      </c>
      <c r="M33" s="20">
        <v>3.3081834010446898E-2</v>
      </c>
      <c r="N33" s="25">
        <v>0</v>
      </c>
      <c r="O33" s="3">
        <v>0</v>
      </c>
      <c r="P33" s="6">
        <v>0</v>
      </c>
    </row>
    <row r="34" spans="1:16" x14ac:dyDescent="0.45">
      <c r="A34" s="37" t="s">
        <v>93</v>
      </c>
      <c r="B34" s="25">
        <v>8.1739891986571302E-3</v>
      </c>
      <c r="C34" s="3">
        <v>2.1429267183999479E-3</v>
      </c>
      <c r="D34" s="6">
        <v>1.4193130265716137E-2</v>
      </c>
      <c r="E34" s="23">
        <v>2.0919214914169692E-3</v>
      </c>
      <c r="F34" s="3">
        <v>1.7218054359857337E-3</v>
      </c>
      <c r="G34" s="20">
        <v>2.4624476729869491E-3</v>
      </c>
      <c r="H34" s="25">
        <v>1.0169984018596541E-3</v>
      </c>
      <c r="I34" s="3">
        <v>2.9052876234747239E-4</v>
      </c>
      <c r="J34" s="6">
        <v>1.7436791630340018E-3</v>
      </c>
      <c r="K34" s="23">
        <v>0</v>
      </c>
      <c r="L34" s="3">
        <v>0</v>
      </c>
      <c r="M34" s="20">
        <v>0</v>
      </c>
      <c r="N34" s="25">
        <v>0</v>
      </c>
      <c r="O34" s="3">
        <v>0</v>
      </c>
      <c r="P34" s="6">
        <v>0</v>
      </c>
    </row>
    <row r="35" spans="1:16" ht="14.65" thickBot="1" x14ac:dyDescent="0.5">
      <c r="A35" s="38" t="s">
        <v>94</v>
      </c>
      <c r="B35" s="26">
        <v>8.595663244619602E-4</v>
      </c>
      <c r="C35" s="8">
        <v>7.1430890613331604E-4</v>
      </c>
      <c r="D35" s="9">
        <v>1.0045366169799093E-3</v>
      </c>
      <c r="E35" s="24">
        <v>9.8443364301975013E-4</v>
      </c>
      <c r="F35" s="8">
        <v>9.8388882056327643E-4</v>
      </c>
      <c r="G35" s="21">
        <v>9.8497906919477966E-4</v>
      </c>
      <c r="H35" s="26">
        <v>2.9057097195990121E-4</v>
      </c>
      <c r="I35" s="8">
        <v>0</v>
      </c>
      <c r="J35" s="9">
        <v>5.812263876780006E-4</v>
      </c>
      <c r="K35" s="24">
        <v>0</v>
      </c>
      <c r="L35" s="8">
        <v>0</v>
      </c>
      <c r="M35" s="21">
        <v>0</v>
      </c>
      <c r="N35" s="26">
        <v>0</v>
      </c>
      <c r="O35" s="8">
        <v>0</v>
      </c>
      <c r="P35" s="9">
        <v>0</v>
      </c>
    </row>
    <row r="36" spans="1:16" x14ac:dyDescent="0.45">
      <c r="B36" s="11">
        <f t="shared" ref="B36:P36" si="0">SUM(B12:B35)</f>
        <v>1</v>
      </c>
      <c r="C36" s="11">
        <f t="shared" si="0"/>
        <v>1</v>
      </c>
      <c r="D36" s="11">
        <f t="shared" si="0"/>
        <v>0.99999999999999967</v>
      </c>
      <c r="E36" s="11">
        <f t="shared" si="0"/>
        <v>0.99999999999999989</v>
      </c>
      <c r="F36" s="11">
        <f t="shared" si="0"/>
        <v>1.0000000000000002</v>
      </c>
      <c r="G36" s="11">
        <f t="shared" si="0"/>
        <v>1</v>
      </c>
      <c r="H36" s="11">
        <f t="shared" si="0"/>
        <v>1</v>
      </c>
      <c r="I36" s="11">
        <f t="shared" si="0"/>
        <v>1.0000000000000002</v>
      </c>
      <c r="J36" s="11">
        <f t="shared" si="0"/>
        <v>0.99999999999999989</v>
      </c>
      <c r="K36" s="11">
        <f t="shared" si="0"/>
        <v>1</v>
      </c>
      <c r="L36" s="11">
        <f t="shared" si="0"/>
        <v>1</v>
      </c>
      <c r="M36" s="11">
        <f t="shared" si="0"/>
        <v>1</v>
      </c>
      <c r="N36" s="11">
        <f t="shared" si="0"/>
        <v>1</v>
      </c>
      <c r="O36" s="11">
        <f t="shared" si="0"/>
        <v>1.0000000000000002</v>
      </c>
      <c r="P36" s="11">
        <f t="shared" si="0"/>
        <v>0.99999999999999989</v>
      </c>
    </row>
  </sheetData>
  <mergeCells count="33">
    <mergeCell ref="A1:P2"/>
    <mergeCell ref="A3:P3"/>
    <mergeCell ref="A4:P4"/>
    <mergeCell ref="B5:D5"/>
    <mergeCell ref="E5:G5"/>
    <mergeCell ref="H5:J5"/>
    <mergeCell ref="K5:M5"/>
    <mergeCell ref="N5:P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10:D10"/>
    <mergeCell ref="E10:G10"/>
    <mergeCell ref="H10:J10"/>
    <mergeCell ref="K10:M10"/>
    <mergeCell ref="N10:P10"/>
  </mergeCells>
  <pageMargins left="0.7" right="0.7" top="0.75" bottom="0.75" header="0.3" footer="0.3"/>
  <pageSetup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065E-E755-4992-A3D4-2CC09BD92B0F}">
  <sheetPr>
    <tabColor rgb="FFFFFF00"/>
  </sheetPr>
  <dimension ref="A1:S28"/>
  <sheetViews>
    <sheetView workbookViewId="0">
      <selection activeCell="K8" sqref="K8:M8"/>
    </sheetView>
  </sheetViews>
  <sheetFormatPr defaultRowHeight="14.25" x14ac:dyDescent="0.45"/>
  <cols>
    <col min="1" max="1" width="17.796875" customWidth="1"/>
    <col min="2" max="19" width="17.796875" style="1" customWidth="1"/>
  </cols>
  <sheetData>
    <row r="1" spans="1:19" ht="15" customHeight="1" x14ac:dyDescent="0.45">
      <c r="A1" s="110" t="s">
        <v>70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2"/>
    </row>
    <row r="2" spans="1:19" ht="15" customHeight="1" x14ac:dyDescent="0.45">
      <c r="A2" s="11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/>
    </row>
    <row r="3" spans="1:19" x14ac:dyDescent="0.45">
      <c r="A3" s="149" t="s">
        <v>154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1"/>
    </row>
    <row r="4" spans="1:19" ht="14.65" thickBot="1" x14ac:dyDescent="0.5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3"/>
    </row>
    <row r="5" spans="1:19" x14ac:dyDescent="0.45">
      <c r="A5" s="36" t="s">
        <v>68</v>
      </c>
      <c r="B5" s="108">
        <v>862</v>
      </c>
      <c r="C5" s="102"/>
      <c r="D5" s="103"/>
      <c r="E5" s="102">
        <v>862</v>
      </c>
      <c r="F5" s="102"/>
      <c r="G5" s="103"/>
      <c r="H5" s="102">
        <v>862</v>
      </c>
      <c r="I5" s="102"/>
      <c r="J5" s="103"/>
      <c r="K5" s="102">
        <v>862</v>
      </c>
      <c r="L5" s="102"/>
      <c r="M5" s="103"/>
      <c r="N5" s="102">
        <v>862</v>
      </c>
      <c r="O5" s="102"/>
      <c r="P5" s="103"/>
      <c r="Q5" s="102">
        <v>862</v>
      </c>
      <c r="R5" s="102"/>
      <c r="S5" s="103"/>
    </row>
    <row r="6" spans="1:19" x14ac:dyDescent="0.45">
      <c r="A6" s="37" t="s">
        <v>0</v>
      </c>
      <c r="B6" s="99" t="s">
        <v>96</v>
      </c>
      <c r="C6" s="88"/>
      <c r="D6" s="89"/>
      <c r="E6" s="88" t="s">
        <v>96</v>
      </c>
      <c r="F6" s="88"/>
      <c r="G6" s="89"/>
      <c r="H6" s="88" t="s">
        <v>96</v>
      </c>
      <c r="I6" s="88"/>
      <c r="J6" s="89"/>
      <c r="K6" s="88" t="s">
        <v>96</v>
      </c>
      <c r="L6" s="88"/>
      <c r="M6" s="89"/>
      <c r="N6" s="88" t="s">
        <v>96</v>
      </c>
      <c r="O6" s="88"/>
      <c r="P6" s="89"/>
      <c r="Q6" s="88" t="s">
        <v>96</v>
      </c>
      <c r="R6" s="88"/>
      <c r="S6" s="89"/>
    </row>
    <row r="7" spans="1:19" x14ac:dyDescent="0.45">
      <c r="A7" s="37" t="s">
        <v>54</v>
      </c>
      <c r="B7" s="99" t="s">
        <v>55</v>
      </c>
      <c r="C7" s="88"/>
      <c r="D7" s="89"/>
      <c r="E7" s="88" t="s">
        <v>55</v>
      </c>
      <c r="F7" s="88"/>
      <c r="G7" s="89"/>
      <c r="H7" s="88" t="s">
        <v>55</v>
      </c>
      <c r="I7" s="88"/>
      <c r="J7" s="89"/>
      <c r="K7" s="88" t="s">
        <v>56</v>
      </c>
      <c r="L7" s="88"/>
      <c r="M7" s="89"/>
      <c r="N7" s="88" t="s">
        <v>56</v>
      </c>
      <c r="O7" s="88"/>
      <c r="P7" s="89"/>
      <c r="Q7" s="88" t="s">
        <v>56</v>
      </c>
      <c r="R7" s="88"/>
      <c r="S7" s="89"/>
    </row>
    <row r="8" spans="1:19" x14ac:dyDescent="0.45">
      <c r="A8" s="37" t="s">
        <v>59</v>
      </c>
      <c r="B8" s="99" t="s">
        <v>60</v>
      </c>
      <c r="C8" s="88"/>
      <c r="D8" s="89"/>
      <c r="E8" s="88" t="s">
        <v>61</v>
      </c>
      <c r="F8" s="88"/>
      <c r="G8" s="89"/>
      <c r="H8" s="88" t="s">
        <v>63</v>
      </c>
      <c r="I8" s="88"/>
      <c r="J8" s="89"/>
      <c r="K8" s="88" t="s">
        <v>60</v>
      </c>
      <c r="L8" s="88"/>
      <c r="M8" s="89"/>
      <c r="N8" s="88" t="s">
        <v>61</v>
      </c>
      <c r="O8" s="88"/>
      <c r="P8" s="89"/>
      <c r="Q8" s="88" t="s">
        <v>63</v>
      </c>
      <c r="R8" s="88"/>
      <c r="S8" s="89"/>
    </row>
    <row r="9" spans="1:19" ht="14.65" thickBot="1" x14ac:dyDescent="0.5">
      <c r="A9" s="38" t="s">
        <v>64</v>
      </c>
      <c r="B9" s="100">
        <v>3</v>
      </c>
      <c r="C9" s="91"/>
      <c r="D9" s="92"/>
      <c r="E9" s="91">
        <v>2</v>
      </c>
      <c r="F9" s="91"/>
      <c r="G9" s="92"/>
      <c r="H9" s="91">
        <v>2</v>
      </c>
      <c r="I9" s="91"/>
      <c r="J9" s="92"/>
      <c r="K9" s="91">
        <v>4</v>
      </c>
      <c r="L9" s="91"/>
      <c r="M9" s="92"/>
      <c r="N9" s="91">
        <v>1</v>
      </c>
      <c r="O9" s="91"/>
      <c r="P9" s="92"/>
      <c r="Q9" s="91">
        <v>1</v>
      </c>
      <c r="R9" s="91"/>
      <c r="S9" s="92"/>
    </row>
    <row r="10" spans="1:19" x14ac:dyDescent="0.45">
      <c r="A10" s="58"/>
      <c r="B10" s="124" t="s">
        <v>135</v>
      </c>
      <c r="C10" s="125"/>
      <c r="D10" s="126"/>
      <c r="E10" s="125" t="s">
        <v>135</v>
      </c>
      <c r="F10" s="125"/>
      <c r="G10" s="126"/>
      <c r="H10" s="125" t="s">
        <v>136</v>
      </c>
      <c r="I10" s="125"/>
      <c r="J10" s="126"/>
      <c r="K10" s="125" t="s">
        <v>135</v>
      </c>
      <c r="L10" s="125"/>
      <c r="M10" s="126"/>
      <c r="N10" s="125" t="s">
        <v>135</v>
      </c>
      <c r="O10" s="125"/>
      <c r="P10" s="126"/>
      <c r="Q10" s="125" t="s">
        <v>136</v>
      </c>
      <c r="R10" s="125"/>
      <c r="S10" s="126"/>
    </row>
    <row r="11" spans="1:19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" t="s">
        <v>95</v>
      </c>
      <c r="F11" s="2" t="s">
        <v>66</v>
      </c>
      <c r="G11" s="5" t="s">
        <v>67</v>
      </c>
      <c r="H11" s="2" t="s">
        <v>95</v>
      </c>
      <c r="I11" s="2" t="s">
        <v>66</v>
      </c>
      <c r="J11" s="5" t="s">
        <v>67</v>
      </c>
      <c r="K11" s="2" t="s">
        <v>95</v>
      </c>
      <c r="L11" s="2" t="s">
        <v>66</v>
      </c>
      <c r="M11" s="5" t="s">
        <v>67</v>
      </c>
      <c r="N11" s="2" t="s">
        <v>95</v>
      </c>
      <c r="O11" s="2" t="s">
        <v>66</v>
      </c>
      <c r="P11" s="5" t="s">
        <v>67</v>
      </c>
      <c r="Q11" s="2" t="s">
        <v>95</v>
      </c>
      <c r="R11" s="2" t="s">
        <v>66</v>
      </c>
      <c r="S11" s="5" t="s">
        <v>67</v>
      </c>
    </row>
    <row r="12" spans="1:19" x14ac:dyDescent="0.45">
      <c r="A12" s="37" t="s">
        <v>77</v>
      </c>
      <c r="B12" s="25">
        <v>1.4058106841611996E-2</v>
      </c>
      <c r="C12" s="3">
        <v>1.6232752700255978E-2</v>
      </c>
      <c r="D12" s="6">
        <v>1.1880197586444069E-2</v>
      </c>
      <c r="E12" s="3">
        <v>8.8109423512629011E-3</v>
      </c>
      <c r="F12" s="3">
        <v>1.0528074866310161E-2</v>
      </c>
      <c r="G12" s="6">
        <v>7.0790493847968988E-3</v>
      </c>
      <c r="H12" s="3"/>
      <c r="I12" s="3"/>
      <c r="J12" s="6"/>
      <c r="K12" s="3">
        <v>2.1387175172929519E-2</v>
      </c>
      <c r="L12" s="3">
        <v>2.6302141216566644E-2</v>
      </c>
      <c r="M12" s="6">
        <v>1.6379830917874396E-2</v>
      </c>
      <c r="N12" s="3">
        <v>4.2517006802721092E-3</v>
      </c>
      <c r="O12" s="3">
        <v>5.383961462170587E-3</v>
      </c>
      <c r="P12" s="6">
        <v>3.1187978451942162E-3</v>
      </c>
      <c r="Q12" s="3"/>
      <c r="R12" s="3"/>
      <c r="S12" s="6"/>
    </row>
    <row r="13" spans="1:19" x14ac:dyDescent="0.45">
      <c r="A13" s="37" t="s">
        <v>78</v>
      </c>
      <c r="B13" s="25">
        <v>3.5270228053733206E-2</v>
      </c>
      <c r="C13" s="3">
        <v>4.2142723356433792E-2</v>
      </c>
      <c r="D13" s="6">
        <v>2.8387419496029513E-2</v>
      </c>
      <c r="E13" s="3">
        <v>2.727196442057565E-2</v>
      </c>
      <c r="F13" s="3">
        <v>3.3589572192513371E-2</v>
      </c>
      <c r="G13" s="6">
        <v>2.0900050564638464E-2</v>
      </c>
      <c r="H13" s="3"/>
      <c r="I13" s="3"/>
      <c r="J13" s="6"/>
      <c r="K13" s="3">
        <v>3.9745746868573566E-2</v>
      </c>
      <c r="L13" s="3">
        <v>4.7232718381862639E-2</v>
      </c>
      <c r="M13" s="6">
        <v>3.2118055555555552E-2</v>
      </c>
      <c r="N13" s="3">
        <v>1.9416099773242629E-2</v>
      </c>
      <c r="O13" s="3">
        <v>2.3802776990648908E-2</v>
      </c>
      <c r="P13" s="6">
        <v>1.5026935072299404E-2</v>
      </c>
      <c r="Q13" s="3"/>
      <c r="R13" s="3"/>
      <c r="S13" s="6"/>
    </row>
    <row r="14" spans="1:19" x14ac:dyDescent="0.45">
      <c r="A14" s="37" t="s">
        <v>79</v>
      </c>
      <c r="B14" s="25">
        <v>5.5982505467041546E-2</v>
      </c>
      <c r="C14" s="3">
        <v>6.2371230567522008E-2</v>
      </c>
      <c r="D14" s="6">
        <v>4.9584193084474461E-2</v>
      </c>
      <c r="E14" s="3">
        <v>4.9089535957036169E-2</v>
      </c>
      <c r="F14" s="3">
        <v>5.6818181818181816E-2</v>
      </c>
      <c r="G14" s="6">
        <v>4.1294454744648573E-2</v>
      </c>
      <c r="H14" s="3">
        <v>4.3467857712553834E-2</v>
      </c>
      <c r="I14" s="3">
        <v>5.4844899264470739E-2</v>
      </c>
      <c r="J14" s="6">
        <v>3.2145130490133671E-2</v>
      </c>
      <c r="K14" s="3">
        <v>6.1992895868386612E-2</v>
      </c>
      <c r="L14" s="3">
        <v>6.8644884048307028E-2</v>
      </c>
      <c r="M14" s="6">
        <v>5.521588164251208E-2</v>
      </c>
      <c r="N14" s="3">
        <v>4.407596371882086E-2</v>
      </c>
      <c r="O14" s="3">
        <v>5.1005950694247661E-2</v>
      </c>
      <c r="P14" s="6">
        <v>3.7142047065494753E-2</v>
      </c>
      <c r="Q14" s="3">
        <v>4.1128298453139214E-2</v>
      </c>
      <c r="R14" s="3">
        <v>4.784688995215311E-2</v>
      </c>
      <c r="S14" s="6">
        <v>3.4557235421166309E-2</v>
      </c>
    </row>
    <row r="15" spans="1:19" x14ac:dyDescent="0.45">
      <c r="A15" s="37" t="s">
        <v>80</v>
      </c>
      <c r="B15" s="25">
        <v>6.7916276163698844E-2</v>
      </c>
      <c r="C15" s="3">
        <v>7.0924642567272267E-2</v>
      </c>
      <c r="D15" s="6">
        <v>6.4903395235415495E-2</v>
      </c>
      <c r="E15" s="3">
        <v>6.4529663505915921E-2</v>
      </c>
      <c r="F15" s="3">
        <v>6.9184491978609625E-2</v>
      </c>
      <c r="G15" s="6">
        <v>5.9834822181021409E-2</v>
      </c>
      <c r="H15" s="3">
        <v>6.5161907800287133E-2</v>
      </c>
      <c r="I15" s="3">
        <v>6.8596098496961938E-2</v>
      </c>
      <c r="J15" s="6">
        <v>6.1744112030553785E-2</v>
      </c>
      <c r="K15" s="3">
        <v>7.5453355767433158E-2</v>
      </c>
      <c r="L15" s="3">
        <v>7.8350744609913314E-2</v>
      </c>
      <c r="M15" s="6">
        <v>7.2501509661835745E-2</v>
      </c>
      <c r="N15" s="3">
        <v>6.6609977324263034E-2</v>
      </c>
      <c r="O15" s="3">
        <v>7.2825162935675827E-2</v>
      </c>
      <c r="P15" s="6">
        <v>6.0391267366033459E-2</v>
      </c>
      <c r="Q15" s="3">
        <v>6.9517743403093718E-2</v>
      </c>
      <c r="R15" s="3">
        <v>7.1402281928597724E-2</v>
      </c>
      <c r="S15" s="6">
        <v>6.7674586033117351E-2</v>
      </c>
    </row>
    <row r="16" spans="1:19" x14ac:dyDescent="0.45">
      <c r="A16" s="37" t="s">
        <v>81</v>
      </c>
      <c r="B16" s="25">
        <v>7.6257419556388623E-2</v>
      </c>
      <c r="C16" s="3">
        <v>7.698070799775239E-2</v>
      </c>
      <c r="D16" s="6">
        <v>7.5533045707497026E-2</v>
      </c>
      <c r="E16" s="3">
        <v>8.122849710497608E-2</v>
      </c>
      <c r="F16" s="3">
        <v>8.9237967914438499E-2</v>
      </c>
      <c r="G16" s="6">
        <v>7.3150176976234618E-2</v>
      </c>
      <c r="H16" s="3">
        <v>8.3665656404530234E-2</v>
      </c>
      <c r="I16" s="3">
        <v>9.1461464662615927E-2</v>
      </c>
      <c r="J16" s="6">
        <v>7.5907065563335457E-2</v>
      </c>
      <c r="K16" s="3">
        <v>7.7079828005234621E-2</v>
      </c>
      <c r="L16" s="3">
        <v>8.0980958731569977E-2</v>
      </c>
      <c r="M16" s="6">
        <v>7.3105374396135264E-2</v>
      </c>
      <c r="N16" s="3">
        <v>7.9790249433106572E-2</v>
      </c>
      <c r="O16" s="3">
        <v>8.5860017001983563E-2</v>
      </c>
      <c r="P16" s="6">
        <v>7.3717039977317836E-2</v>
      </c>
      <c r="Q16" s="3">
        <v>8.6624203821656046E-2</v>
      </c>
      <c r="R16" s="3">
        <v>0.10121457489878542</v>
      </c>
      <c r="S16" s="6">
        <v>7.235421166306695E-2</v>
      </c>
    </row>
    <row r="17" spans="1:19" x14ac:dyDescent="0.45">
      <c r="A17" s="37" t="s">
        <v>82</v>
      </c>
      <c r="B17" s="25">
        <v>8.0756013745704472E-2</v>
      </c>
      <c r="C17" s="3">
        <v>8.5971155647124931E-2</v>
      </c>
      <c r="D17" s="6">
        <v>7.5533045707497026E-2</v>
      </c>
      <c r="E17" s="3">
        <v>8.6850717462448601E-2</v>
      </c>
      <c r="F17" s="3">
        <v>8.8903743315508016E-2</v>
      </c>
      <c r="G17" s="6">
        <v>8.4780043822686668E-2</v>
      </c>
      <c r="H17" s="3">
        <v>9.858031583984686E-2</v>
      </c>
      <c r="I17" s="3">
        <v>9.6897985289414776E-2</v>
      </c>
      <c r="J17" s="6">
        <v>0.10025461489497135</v>
      </c>
      <c r="K17" s="3">
        <v>7.98280052346233E-2</v>
      </c>
      <c r="L17" s="3">
        <v>8.0165962806549598E-2</v>
      </c>
      <c r="M17" s="6">
        <v>7.9483695652173919E-2</v>
      </c>
      <c r="N17" s="3">
        <v>8.2908163265306117E-2</v>
      </c>
      <c r="O17" s="3">
        <v>8.6993482572966851E-2</v>
      </c>
      <c r="P17" s="6">
        <v>7.8820527360362921E-2</v>
      </c>
      <c r="Q17" s="3">
        <v>0.10318471337579618</v>
      </c>
      <c r="R17" s="3">
        <v>0.10084652189915348</v>
      </c>
      <c r="S17" s="6">
        <v>0.105471562275018</v>
      </c>
    </row>
    <row r="18" spans="1:19" x14ac:dyDescent="0.45">
      <c r="A18" s="37" t="s">
        <v>83</v>
      </c>
      <c r="B18" s="25">
        <v>8.4317400812246174E-2</v>
      </c>
      <c r="C18" s="3">
        <v>8.9904476493725419E-2</v>
      </c>
      <c r="D18" s="6">
        <v>7.8721940849121486E-2</v>
      </c>
      <c r="E18" s="3">
        <v>8.5927666358982968E-2</v>
      </c>
      <c r="F18" s="3">
        <v>8.155080213903744E-2</v>
      </c>
      <c r="G18" s="6">
        <v>9.0342154053598522E-2</v>
      </c>
      <c r="H18" s="3">
        <v>0.11668527675865369</v>
      </c>
      <c r="I18" s="3">
        <v>0.11752478413815158</v>
      </c>
      <c r="J18" s="6">
        <v>0.1158497772119669</v>
      </c>
      <c r="K18" s="3">
        <v>7.320994578425874E-2</v>
      </c>
      <c r="L18" s="3">
        <v>7.1052826554049042E-2</v>
      </c>
      <c r="M18" s="6">
        <v>7.5407608695652176E-2</v>
      </c>
      <c r="N18" s="3">
        <v>8.8718820861678011E-2</v>
      </c>
      <c r="O18" s="3">
        <v>9.0677245678662505E-2</v>
      </c>
      <c r="P18" s="6">
        <v>8.6759285511766371E-2</v>
      </c>
      <c r="Q18" s="3">
        <v>0.11410373066424022</v>
      </c>
      <c r="R18" s="3">
        <v>0.1096797938903202</v>
      </c>
      <c r="S18" s="6">
        <v>0.11843052555795536</v>
      </c>
    </row>
    <row r="19" spans="1:19" x14ac:dyDescent="0.45">
      <c r="A19" s="37" t="s">
        <v>84</v>
      </c>
      <c r="B19" s="25">
        <v>8.4598562949078415E-2</v>
      </c>
      <c r="C19" s="3">
        <v>8.3036773428232499E-2</v>
      </c>
      <c r="D19" s="6">
        <v>8.6162696179578571E-2</v>
      </c>
      <c r="E19" s="3">
        <v>8.4836787782159945E-2</v>
      </c>
      <c r="F19" s="3">
        <v>8.639705882352941E-2</v>
      </c>
      <c r="G19" s="6">
        <v>8.3263104668801616E-2</v>
      </c>
      <c r="H19" s="3">
        <v>0.1193172754825331</v>
      </c>
      <c r="I19" s="3">
        <v>0.12072273744803326</v>
      </c>
      <c r="J19" s="6">
        <v>0.11791852323360917</v>
      </c>
      <c r="K19" s="3">
        <v>7.3658627780893632E-2</v>
      </c>
      <c r="L19" s="3">
        <v>7.3423723790471962E-2</v>
      </c>
      <c r="M19" s="6">
        <v>7.3897946859903377E-2</v>
      </c>
      <c r="N19" s="3">
        <v>9.7222222222222224E-2</v>
      </c>
      <c r="O19" s="3">
        <v>9.549447435534146E-2</v>
      </c>
      <c r="P19" s="6">
        <v>9.8950949815707401E-2</v>
      </c>
      <c r="Q19" s="3">
        <v>0.11792538671519563</v>
      </c>
      <c r="R19" s="3">
        <v>0.12771439087228562</v>
      </c>
      <c r="S19" s="6">
        <v>0.10835133189344852</v>
      </c>
    </row>
    <row r="20" spans="1:19" x14ac:dyDescent="0.45">
      <c r="A20" s="37" t="s">
        <v>85</v>
      </c>
      <c r="B20" s="25">
        <v>7.3477038425492039E-2</v>
      </c>
      <c r="C20" s="3">
        <v>6.9613535618405442E-2</v>
      </c>
      <c r="D20" s="6">
        <v>7.7346339023322705E-2</v>
      </c>
      <c r="E20" s="3">
        <v>8.9284215826130733E-2</v>
      </c>
      <c r="F20" s="3">
        <v>9.1911764705882359E-2</v>
      </c>
      <c r="G20" s="6">
        <v>8.6634080566323948E-2</v>
      </c>
      <c r="H20" s="3">
        <v>0.11086297655128409</v>
      </c>
      <c r="I20" s="3">
        <v>0.11208826351135273</v>
      </c>
      <c r="J20" s="6">
        <v>0.1096435391470401</v>
      </c>
      <c r="K20" s="3">
        <v>6.823705365488876E-2</v>
      </c>
      <c r="L20" s="3">
        <v>6.5384900348225528E-2</v>
      </c>
      <c r="M20" s="6">
        <v>7.1142814009661839E-2</v>
      </c>
      <c r="N20" s="3">
        <v>9.297052154195011E-2</v>
      </c>
      <c r="O20" s="3">
        <v>9.2660810427883253E-2</v>
      </c>
      <c r="P20" s="6">
        <v>9.3280408278990645E-2</v>
      </c>
      <c r="Q20" s="3">
        <v>0.11792538671519563</v>
      </c>
      <c r="R20" s="3">
        <v>0.11409642988590357</v>
      </c>
      <c r="S20" s="6">
        <v>0.1216702663786897</v>
      </c>
    </row>
    <row r="21" spans="1:19" x14ac:dyDescent="0.45">
      <c r="A21" s="37" t="s">
        <v>86</v>
      </c>
      <c r="B21" s="25">
        <v>7.4570446735395188E-2</v>
      </c>
      <c r="C21" s="3">
        <v>7.529499906349503E-2</v>
      </c>
      <c r="D21" s="6">
        <v>7.3844807103107604E-2</v>
      </c>
      <c r="E21" s="3">
        <v>8.5843752622304273E-2</v>
      </c>
      <c r="F21" s="3">
        <v>7.8542780748663096E-2</v>
      </c>
      <c r="G21" s="6">
        <v>9.3207483566492499E-2</v>
      </c>
      <c r="H21" s="3">
        <v>0.10751315999361939</v>
      </c>
      <c r="I21" s="3">
        <v>0.10665174288455388</v>
      </c>
      <c r="J21" s="6">
        <v>0.10837046467218332</v>
      </c>
      <c r="K21" s="3">
        <v>7.0293512806131983E-2</v>
      </c>
      <c r="L21" s="3">
        <v>6.9237608357412758E-2</v>
      </c>
      <c r="M21" s="6">
        <v>7.1369263285024159E-2</v>
      </c>
      <c r="N21" s="3">
        <v>8.2482993197278906E-2</v>
      </c>
      <c r="O21" s="3">
        <v>8.0476055539812977E-2</v>
      </c>
      <c r="P21" s="6">
        <v>8.4491068897079677E-2</v>
      </c>
      <c r="Q21" s="3">
        <v>0.11228389444949954</v>
      </c>
      <c r="R21" s="3">
        <v>0.1096797938903202</v>
      </c>
      <c r="S21" s="6">
        <v>0.11483081353491721</v>
      </c>
    </row>
    <row r="22" spans="1:19" x14ac:dyDescent="0.45">
      <c r="A22" s="37" t="s">
        <v>87</v>
      </c>
      <c r="B22" s="25">
        <v>7.0634176819743835E-2</v>
      </c>
      <c r="C22" s="3">
        <v>6.8427295998002124E-2</v>
      </c>
      <c r="D22" s="6">
        <v>7.2844369411617579E-2</v>
      </c>
      <c r="E22" s="3">
        <v>8.1899806998405641E-2</v>
      </c>
      <c r="F22" s="3">
        <v>7.469919786096256E-2</v>
      </c>
      <c r="G22" s="6">
        <v>8.9162312489465698E-2</v>
      </c>
      <c r="H22" s="3">
        <v>9.4991226670920401E-2</v>
      </c>
      <c r="I22" s="3">
        <v>8.9542692676686922E-2</v>
      </c>
      <c r="J22" s="6">
        <v>0.10041374920432845</v>
      </c>
      <c r="K22" s="3">
        <v>7.0443073471676942E-2</v>
      </c>
      <c r="L22" s="3">
        <v>6.7941023931243974E-2</v>
      </c>
      <c r="M22" s="6">
        <v>7.2992149758454111E-2</v>
      </c>
      <c r="N22" s="3">
        <v>8.1490929705215417E-2</v>
      </c>
      <c r="O22" s="3">
        <v>8.1609521110796265E-2</v>
      </c>
      <c r="P22" s="6">
        <v>8.137227105188545E-2</v>
      </c>
      <c r="Q22" s="3">
        <v>9.2629663330300274E-2</v>
      </c>
      <c r="R22" s="3">
        <v>8.3548030916451965E-2</v>
      </c>
      <c r="S22" s="6">
        <v>0.10151187904967603</v>
      </c>
    </row>
    <row r="23" spans="1:19" x14ac:dyDescent="0.45">
      <c r="A23" s="37" t="s">
        <v>88</v>
      </c>
      <c r="B23" s="25">
        <v>6.8603561387066539E-2</v>
      </c>
      <c r="C23" s="3">
        <v>6.3619903852157086E-2</v>
      </c>
      <c r="D23" s="6">
        <v>7.3594697680235105E-2</v>
      </c>
      <c r="E23" s="3">
        <v>7.4515398170680536E-2</v>
      </c>
      <c r="F23" s="3">
        <v>7.5367647058823525E-2</v>
      </c>
      <c r="G23" s="6">
        <v>7.3655823360862974E-2</v>
      </c>
      <c r="H23" s="3">
        <v>8.5340564683362582E-2</v>
      </c>
      <c r="I23" s="3">
        <v>7.8989446754077389E-2</v>
      </c>
      <c r="J23" s="6">
        <v>9.1661362189688095E-2</v>
      </c>
      <c r="K23" s="3">
        <v>7.0162647223780142E-2</v>
      </c>
      <c r="L23" s="3">
        <v>6.8052159739201298E-2</v>
      </c>
      <c r="M23" s="6">
        <v>7.2312801932367152E-2</v>
      </c>
      <c r="N23" s="3">
        <v>7.4263038548752838E-2</v>
      </c>
      <c r="O23" s="3">
        <v>6.914139982998016E-2</v>
      </c>
      <c r="P23" s="6">
        <v>7.9387581514034591E-2</v>
      </c>
      <c r="Q23" s="3">
        <v>8.025477707006369E-2</v>
      </c>
      <c r="R23" s="3">
        <v>7.1770334928229665E-2</v>
      </c>
      <c r="S23" s="6">
        <v>8.8552915766738655E-2</v>
      </c>
    </row>
    <row r="24" spans="1:19" x14ac:dyDescent="0.45">
      <c r="A24" s="37" t="s">
        <v>89</v>
      </c>
      <c r="B24" s="25">
        <v>6.607310215557638E-2</v>
      </c>
      <c r="C24" s="3">
        <v>6.2121495910594994E-2</v>
      </c>
      <c r="D24" s="6">
        <v>7.0030638404301876E-2</v>
      </c>
      <c r="E24" s="3">
        <v>6.4949232189309383E-2</v>
      </c>
      <c r="F24" s="3">
        <v>6.2834224598930483E-2</v>
      </c>
      <c r="G24" s="6">
        <v>6.7082420360694422E-2</v>
      </c>
      <c r="H24" s="3">
        <v>7.4413782102408677E-2</v>
      </c>
      <c r="I24" s="3">
        <v>6.2679884873680841E-2</v>
      </c>
      <c r="J24" s="6">
        <v>8.6091661362189695E-2</v>
      </c>
      <c r="K24" s="3">
        <v>7.1097401383436162E-2</v>
      </c>
      <c r="L24" s="3">
        <v>6.8681929317626136E-2</v>
      </c>
      <c r="M24" s="6">
        <v>7.3558272946859904E-2</v>
      </c>
      <c r="N24" s="3">
        <v>6.8877551020408156E-2</v>
      </c>
      <c r="O24" s="3">
        <v>6.7157835080759426E-2</v>
      </c>
      <c r="P24" s="6">
        <v>7.0598242132123623E-2</v>
      </c>
      <c r="Q24" s="3">
        <v>6.4422202001819834E-2</v>
      </c>
      <c r="R24" s="3">
        <v>6.2200956937799042E-2</v>
      </c>
      <c r="S24" s="6">
        <v>6.6594672426205898E-2</v>
      </c>
    </row>
    <row r="25" spans="1:19" x14ac:dyDescent="0.45">
      <c r="A25" s="37" t="s">
        <v>90</v>
      </c>
      <c r="B25" s="25">
        <v>6.4292408622305536E-2</v>
      </c>
      <c r="C25" s="3">
        <v>5.9749016669788352E-2</v>
      </c>
      <c r="D25" s="6">
        <v>6.884261864565748E-2</v>
      </c>
      <c r="E25" s="3">
        <v>5.0180414533859193E-2</v>
      </c>
      <c r="F25" s="3">
        <v>4.4618983957219249E-2</v>
      </c>
      <c r="G25" s="6">
        <v>5.5789651103994607E-2</v>
      </c>
      <c r="H25" s="3"/>
      <c r="I25" s="3"/>
      <c r="J25" s="6"/>
      <c r="K25" s="3">
        <v>6.5283230510375767E-2</v>
      </c>
      <c r="L25" s="3">
        <v>6.0939468029932581E-2</v>
      </c>
      <c r="M25" s="6">
        <v>6.970863526570048E-2</v>
      </c>
      <c r="N25" s="3">
        <v>5.5413832199546487E-2</v>
      </c>
      <c r="O25" s="3">
        <v>5.1572683479739305E-2</v>
      </c>
      <c r="P25" s="6">
        <v>5.9257159058690105E-2</v>
      </c>
      <c r="Q25" s="3"/>
      <c r="R25" s="3"/>
      <c r="S25" s="6"/>
    </row>
    <row r="26" spans="1:19" x14ac:dyDescent="0.45">
      <c r="A26" s="37" t="s">
        <v>91</v>
      </c>
      <c r="B26" s="25">
        <v>5.2014995313964384E-2</v>
      </c>
      <c r="C26" s="3">
        <v>4.9946931385403008E-2</v>
      </c>
      <c r="D26" s="6">
        <v>5.4086162696179579E-2</v>
      </c>
      <c r="E26" s="3">
        <v>3.985902492237979E-2</v>
      </c>
      <c r="F26" s="3">
        <v>3.7934491978609625E-2</v>
      </c>
      <c r="G26" s="6">
        <v>4.1800101129276929E-2</v>
      </c>
      <c r="H26" s="3"/>
      <c r="I26" s="3"/>
      <c r="J26" s="6"/>
      <c r="K26" s="3">
        <v>4.8102449055898298E-2</v>
      </c>
      <c r="L26" s="3">
        <v>4.4713640068163293E-2</v>
      </c>
      <c r="M26" s="6">
        <v>5.1554951690821256E-2</v>
      </c>
      <c r="N26" s="3">
        <v>4.4784580498866217E-2</v>
      </c>
      <c r="O26" s="3">
        <v>3.7404363842448288E-2</v>
      </c>
      <c r="P26" s="6">
        <v>5.2168982137794161E-2</v>
      </c>
      <c r="Q26" s="3"/>
      <c r="R26" s="3"/>
      <c r="S26" s="6"/>
    </row>
    <row r="27" spans="1:19" ht="14.65" thickBot="1" x14ac:dyDescent="0.5">
      <c r="A27" s="38" t="s">
        <v>92</v>
      </c>
      <c r="B27" s="26">
        <v>3.1177756950952828E-2</v>
      </c>
      <c r="C27" s="8">
        <v>2.3662358743834676E-2</v>
      </c>
      <c r="D27" s="9">
        <v>3.8704433189520417E-2</v>
      </c>
      <c r="E27" s="8">
        <v>2.4922379793572209E-2</v>
      </c>
      <c r="F27" s="8">
        <v>1.7881016042780747E-2</v>
      </c>
      <c r="G27" s="9">
        <v>3.2024271026462159E-2</v>
      </c>
      <c r="H27" s="8"/>
      <c r="I27" s="8"/>
      <c r="J27" s="9"/>
      <c r="K27" s="8">
        <v>3.4025051411478782E-2</v>
      </c>
      <c r="L27" s="8">
        <v>2.8895310068904202E-2</v>
      </c>
      <c r="M27" s="9">
        <v>3.92512077294686E-2</v>
      </c>
      <c r="N27" s="8">
        <v>1.6723356009070295E-2</v>
      </c>
      <c r="O27" s="8">
        <v>7.9342589968829699E-3</v>
      </c>
      <c r="P27" s="9">
        <v>2.5517436915225403E-2</v>
      </c>
      <c r="Q27" s="8"/>
      <c r="R27" s="8"/>
      <c r="S27" s="9"/>
    </row>
    <row r="28" spans="1:19" x14ac:dyDescent="0.45">
      <c r="B28" s="11">
        <f>SUM(B12:B27)</f>
        <v>1</v>
      </c>
      <c r="C28" s="11">
        <f t="shared" ref="C28:S28" si="0">SUM(C12:C27)</f>
        <v>1</v>
      </c>
      <c r="D28" s="11">
        <f t="shared" si="0"/>
        <v>0.99999999999999989</v>
      </c>
      <c r="E28" s="11">
        <f t="shared" si="0"/>
        <v>1</v>
      </c>
      <c r="F28" s="11">
        <f t="shared" si="0"/>
        <v>0.99999999999999989</v>
      </c>
      <c r="G28" s="11">
        <f t="shared" si="0"/>
        <v>1</v>
      </c>
      <c r="H28" s="11">
        <f t="shared" si="0"/>
        <v>1</v>
      </c>
      <c r="I28" s="11">
        <f t="shared" si="0"/>
        <v>1</v>
      </c>
      <c r="J28" s="11">
        <f t="shared" si="0"/>
        <v>1</v>
      </c>
      <c r="K28" s="11">
        <f t="shared" si="0"/>
        <v>1</v>
      </c>
      <c r="L28" s="11">
        <f t="shared" si="0"/>
        <v>1</v>
      </c>
      <c r="M28" s="11">
        <f t="shared" si="0"/>
        <v>0.99999999999999989</v>
      </c>
      <c r="N28" s="11">
        <f t="shared" si="0"/>
        <v>1</v>
      </c>
      <c r="O28" s="11">
        <f t="shared" si="0"/>
        <v>0.99999999999999989</v>
      </c>
      <c r="P28" s="11">
        <f t="shared" si="0"/>
        <v>1.0000000000000002</v>
      </c>
      <c r="Q28" s="11">
        <f t="shared" si="0"/>
        <v>0.99999999999999989</v>
      </c>
      <c r="R28" s="11">
        <f t="shared" si="0"/>
        <v>1.0000000000000002</v>
      </c>
      <c r="S28" s="11">
        <f t="shared" si="0"/>
        <v>1</v>
      </c>
    </row>
  </sheetData>
  <mergeCells count="39">
    <mergeCell ref="Q6:S6"/>
    <mergeCell ref="A1:S2"/>
    <mergeCell ref="A3:S3"/>
    <mergeCell ref="A4:S4"/>
    <mergeCell ref="B5:D5"/>
    <mergeCell ref="E5:G5"/>
    <mergeCell ref="H5:J5"/>
    <mergeCell ref="K5:M5"/>
    <mergeCell ref="N5:P5"/>
    <mergeCell ref="Q5:S5"/>
    <mergeCell ref="B6:D6"/>
    <mergeCell ref="E6:G6"/>
    <mergeCell ref="H6:J6"/>
    <mergeCell ref="K6:M6"/>
    <mergeCell ref="N6:P6"/>
    <mergeCell ref="Q8:S8"/>
    <mergeCell ref="B7:D7"/>
    <mergeCell ref="E7:G7"/>
    <mergeCell ref="H7:J7"/>
    <mergeCell ref="K7:M7"/>
    <mergeCell ref="N7:P7"/>
    <mergeCell ref="Q7:S7"/>
    <mergeCell ref="B8:D8"/>
    <mergeCell ref="E8:G8"/>
    <mergeCell ref="H8:J8"/>
    <mergeCell ref="K8:M8"/>
    <mergeCell ref="N8:P8"/>
    <mergeCell ref="Q10:S10"/>
    <mergeCell ref="B9:D9"/>
    <mergeCell ref="E9:G9"/>
    <mergeCell ref="H9:J9"/>
    <mergeCell ref="K9:M9"/>
    <mergeCell ref="N9:P9"/>
    <mergeCell ref="Q9:S9"/>
    <mergeCell ref="B10:D10"/>
    <mergeCell ref="E10:G10"/>
    <mergeCell ref="H10:J10"/>
    <mergeCell ref="K10:M10"/>
    <mergeCell ref="N10:P10"/>
  </mergeCells>
  <pageMargins left="0.7" right="0.7" top="0.75" bottom="0.75" header="0.3" footer="0.3"/>
  <pageSetup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58A4-CC5D-4109-B8E3-F512FB8685D5}">
  <sheetPr>
    <tabColor rgb="FFFFFF00"/>
  </sheetPr>
  <dimension ref="A1:J36"/>
  <sheetViews>
    <sheetView topLeftCell="A5" workbookViewId="0">
      <selection activeCell="F31" sqref="F31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08">
        <v>863</v>
      </c>
      <c r="C5" s="102"/>
      <c r="D5" s="103"/>
      <c r="E5" s="101">
        <v>863</v>
      </c>
      <c r="F5" s="102"/>
      <c r="G5" s="106"/>
      <c r="H5" s="108">
        <v>863</v>
      </c>
      <c r="I5" s="102"/>
      <c r="J5" s="103"/>
    </row>
    <row r="6" spans="1:10" x14ac:dyDescent="0.45">
      <c r="A6" s="37" t="s">
        <v>0</v>
      </c>
      <c r="B6" s="99" t="s">
        <v>42</v>
      </c>
      <c r="C6" s="88"/>
      <c r="D6" s="89"/>
      <c r="E6" s="87" t="s">
        <v>42</v>
      </c>
      <c r="F6" s="88"/>
      <c r="G6" s="104"/>
      <c r="H6" s="99" t="s">
        <v>42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2</v>
      </c>
      <c r="C9" s="91"/>
      <c r="D9" s="92"/>
      <c r="E9" s="90">
        <v>1</v>
      </c>
      <c r="F9" s="91"/>
      <c r="G9" s="105"/>
      <c r="H9" s="100">
        <v>1</v>
      </c>
      <c r="I9" s="91"/>
      <c r="J9" s="92"/>
    </row>
    <row r="10" spans="1:10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0</v>
      </c>
      <c r="C12" s="3">
        <v>0</v>
      </c>
      <c r="D12" s="6">
        <v>0</v>
      </c>
      <c r="E12" s="23">
        <v>1.2285012285012285E-3</v>
      </c>
      <c r="F12" s="3">
        <v>8.1766148814390845E-4</v>
      </c>
      <c r="G12" s="20">
        <v>1.6406890894175555E-3</v>
      </c>
      <c r="H12" s="25">
        <v>2.1119324181626186E-3</v>
      </c>
      <c r="I12" s="3">
        <v>0</v>
      </c>
      <c r="J12" s="6">
        <v>4.2105263157894736E-3</v>
      </c>
    </row>
    <row r="13" spans="1:10" x14ac:dyDescent="0.45">
      <c r="A13" s="37" t="s">
        <v>72</v>
      </c>
      <c r="B13" s="25">
        <v>0</v>
      </c>
      <c r="C13" s="3">
        <v>0</v>
      </c>
      <c r="D13" s="6">
        <v>0</v>
      </c>
      <c r="E13" s="23">
        <v>0</v>
      </c>
      <c r="F13" s="3">
        <v>0</v>
      </c>
      <c r="G13" s="20">
        <v>0</v>
      </c>
      <c r="H13" s="25">
        <v>1.0559662090813093E-3</v>
      </c>
      <c r="I13" s="3">
        <v>0</v>
      </c>
      <c r="J13" s="6">
        <v>2.1052631578947368E-3</v>
      </c>
    </row>
    <row r="14" spans="1:10" x14ac:dyDescent="0.45">
      <c r="A14" s="37" t="s">
        <v>73</v>
      </c>
      <c r="B14" s="25">
        <v>0</v>
      </c>
      <c r="C14" s="3">
        <v>0</v>
      </c>
      <c r="D14" s="6">
        <v>0</v>
      </c>
      <c r="E14" s="23">
        <v>0</v>
      </c>
      <c r="F14" s="3">
        <v>0</v>
      </c>
      <c r="G14" s="20">
        <v>0</v>
      </c>
      <c r="H14" s="25">
        <v>0</v>
      </c>
      <c r="I14" s="3">
        <v>0</v>
      </c>
      <c r="J14" s="6">
        <v>0</v>
      </c>
    </row>
    <row r="15" spans="1:10" x14ac:dyDescent="0.45">
      <c r="A15" s="37" t="s">
        <v>74</v>
      </c>
      <c r="B15" s="25">
        <v>0</v>
      </c>
      <c r="C15" s="3">
        <v>0</v>
      </c>
      <c r="D15" s="6">
        <v>0</v>
      </c>
      <c r="E15" s="23">
        <v>0</v>
      </c>
      <c r="F15" s="3">
        <v>0</v>
      </c>
      <c r="G15" s="20">
        <v>0</v>
      </c>
      <c r="H15" s="25">
        <v>0</v>
      </c>
      <c r="I15" s="3">
        <v>0</v>
      </c>
      <c r="J15" s="6">
        <v>0</v>
      </c>
    </row>
    <row r="16" spans="1:10" x14ac:dyDescent="0.45">
      <c r="A16" s="37" t="s">
        <v>75</v>
      </c>
      <c r="B16" s="25">
        <v>0</v>
      </c>
      <c r="C16" s="3">
        <v>0</v>
      </c>
      <c r="D16" s="6">
        <v>0</v>
      </c>
      <c r="E16" s="23">
        <v>1.2285012285012285E-3</v>
      </c>
      <c r="F16" s="3">
        <v>1.6353229762878169E-3</v>
      </c>
      <c r="G16" s="20">
        <v>8.2034454470877774E-4</v>
      </c>
      <c r="H16" s="25">
        <v>0</v>
      </c>
      <c r="I16" s="3">
        <v>0</v>
      </c>
      <c r="J16" s="6">
        <v>0</v>
      </c>
    </row>
    <row r="17" spans="1:10" x14ac:dyDescent="0.45">
      <c r="A17" s="37" t="s">
        <v>76</v>
      </c>
      <c r="B17" s="25">
        <v>3.1250000000000002E-3</v>
      </c>
      <c r="C17" s="3">
        <v>4.6948356807511738E-3</v>
      </c>
      <c r="D17" s="6">
        <v>1.5600624024960999E-3</v>
      </c>
      <c r="E17" s="23">
        <v>8.1900081900081905E-4</v>
      </c>
      <c r="F17" s="3">
        <v>1.6353229762878169E-3</v>
      </c>
      <c r="G17" s="20">
        <v>0</v>
      </c>
      <c r="H17" s="25">
        <v>1.0559662090813093E-3</v>
      </c>
      <c r="I17" s="3">
        <v>2.1186440677966102E-3</v>
      </c>
      <c r="J17" s="6">
        <v>0</v>
      </c>
    </row>
    <row r="18" spans="1:10" x14ac:dyDescent="0.45">
      <c r="A18" s="37" t="s">
        <v>77</v>
      </c>
      <c r="B18" s="25">
        <v>4.2968750000000003E-3</v>
      </c>
      <c r="C18" s="3">
        <v>8.6071987480438178E-3</v>
      </c>
      <c r="D18" s="6">
        <v>0</v>
      </c>
      <c r="E18" s="23">
        <v>4.0950040950040953E-4</v>
      </c>
      <c r="F18" s="3">
        <v>8.1766148814390845E-4</v>
      </c>
      <c r="G18" s="20">
        <v>0</v>
      </c>
      <c r="H18" s="25">
        <v>3.6958817317845828E-3</v>
      </c>
      <c r="I18" s="3">
        <v>5.2966101694915252E-3</v>
      </c>
      <c r="J18" s="6">
        <v>2.1052631578947368E-3</v>
      </c>
    </row>
    <row r="19" spans="1:10" x14ac:dyDescent="0.45">
      <c r="A19" s="37" t="s">
        <v>78</v>
      </c>
      <c r="B19" s="25">
        <v>4.2968750000000003E-3</v>
      </c>
      <c r="C19" s="3">
        <v>4.6948356807511738E-3</v>
      </c>
      <c r="D19" s="6">
        <v>3.9001560062402497E-3</v>
      </c>
      <c r="E19" s="23">
        <v>2.4570024570024569E-3</v>
      </c>
      <c r="F19" s="3">
        <v>3.2706459525756338E-3</v>
      </c>
      <c r="G19" s="20">
        <v>1.6406890894175555E-3</v>
      </c>
      <c r="H19" s="25">
        <v>1.0559662090813093E-3</v>
      </c>
      <c r="I19" s="3">
        <v>1.0593220338983051E-3</v>
      </c>
      <c r="J19" s="6">
        <v>1.0526315789473684E-3</v>
      </c>
    </row>
    <row r="20" spans="1:10" x14ac:dyDescent="0.45">
      <c r="A20" s="37" t="s">
        <v>79</v>
      </c>
      <c r="B20" s="25">
        <v>8.9843749999999993E-3</v>
      </c>
      <c r="C20" s="3">
        <v>1.0954616588419406E-2</v>
      </c>
      <c r="D20" s="6">
        <v>7.0202808112324495E-3</v>
      </c>
      <c r="E20" s="23">
        <v>2.4570024570024569E-3</v>
      </c>
      <c r="F20" s="3">
        <v>2.4529844644317253E-3</v>
      </c>
      <c r="G20" s="20">
        <v>2.4610336341263331E-3</v>
      </c>
      <c r="H20" s="25">
        <v>2.6399155227032735E-3</v>
      </c>
      <c r="I20" s="3">
        <v>3.1779661016949155E-3</v>
      </c>
      <c r="J20" s="6">
        <v>2.1052631578947368E-3</v>
      </c>
    </row>
    <row r="21" spans="1:10" x14ac:dyDescent="0.45">
      <c r="A21" s="37" t="s">
        <v>80</v>
      </c>
      <c r="B21" s="25">
        <v>2.8906250000000001E-2</v>
      </c>
      <c r="C21" s="3">
        <v>4.5383411580594682E-2</v>
      </c>
      <c r="D21" s="6">
        <v>1.2480499219968799E-2</v>
      </c>
      <c r="E21" s="23">
        <v>2.0065520065520065E-2</v>
      </c>
      <c r="F21" s="3">
        <v>3.3524121013900246E-2</v>
      </c>
      <c r="G21" s="20">
        <v>6.5627563576702219E-3</v>
      </c>
      <c r="H21" s="25">
        <v>1.4255543822597676E-2</v>
      </c>
      <c r="I21" s="3">
        <v>2.5423728813559324E-2</v>
      </c>
      <c r="J21" s="6">
        <v>3.1578947368421052E-3</v>
      </c>
    </row>
    <row r="22" spans="1:10" x14ac:dyDescent="0.45">
      <c r="A22" s="37" t="s">
        <v>81</v>
      </c>
      <c r="B22" s="25">
        <v>7.1874999999999994E-2</v>
      </c>
      <c r="C22" s="3">
        <v>7.82472613458529E-2</v>
      </c>
      <c r="D22" s="6">
        <v>6.5522620904836196E-2</v>
      </c>
      <c r="E22" s="23">
        <v>7.2072072072072071E-2</v>
      </c>
      <c r="F22" s="3">
        <v>8.994276369582993E-2</v>
      </c>
      <c r="G22" s="20">
        <v>5.4142739950779326E-2</v>
      </c>
      <c r="H22" s="25">
        <v>5.9662090813093982E-2</v>
      </c>
      <c r="I22" s="3">
        <v>7.4152542372881353E-2</v>
      </c>
      <c r="J22" s="6">
        <v>4.5263157894736845E-2</v>
      </c>
    </row>
    <row r="23" spans="1:10" x14ac:dyDescent="0.45">
      <c r="A23" s="37" t="s">
        <v>82</v>
      </c>
      <c r="B23" s="25">
        <v>7.3046874999999997E-2</v>
      </c>
      <c r="C23" s="3">
        <v>7.9812206572769953E-2</v>
      </c>
      <c r="D23" s="6">
        <v>6.6302652106084242E-2</v>
      </c>
      <c r="E23" s="23">
        <v>0.10114660114660115</v>
      </c>
      <c r="F23" s="3">
        <v>0.10139002452984465</v>
      </c>
      <c r="G23" s="20">
        <v>0.10090237899917966</v>
      </c>
      <c r="H23" s="25">
        <v>0.12090813093980993</v>
      </c>
      <c r="I23" s="3">
        <v>0.13771186440677965</v>
      </c>
      <c r="J23" s="6">
        <v>0.10421052631578948</v>
      </c>
    </row>
    <row r="24" spans="1:10" x14ac:dyDescent="0.45">
      <c r="A24" s="37" t="s">
        <v>83</v>
      </c>
      <c r="B24" s="25">
        <v>0.11953125000000001</v>
      </c>
      <c r="C24" s="3">
        <v>0.12050078247261346</v>
      </c>
      <c r="D24" s="6">
        <v>0.11856474258970359</v>
      </c>
      <c r="E24" s="23">
        <v>0.11261261261261261</v>
      </c>
      <c r="F24" s="3">
        <v>0.11937857726901063</v>
      </c>
      <c r="G24" s="20">
        <v>0.10582444626743231</v>
      </c>
      <c r="H24" s="25">
        <v>0.12143611404435058</v>
      </c>
      <c r="I24" s="3">
        <v>0.1271186440677966</v>
      </c>
      <c r="J24" s="6">
        <v>0.11578947368421053</v>
      </c>
    </row>
    <row r="25" spans="1:10" x14ac:dyDescent="0.45">
      <c r="A25" s="37" t="s">
        <v>84</v>
      </c>
      <c r="B25" s="25">
        <v>9.8437499999999997E-2</v>
      </c>
      <c r="C25" s="3">
        <v>9.8591549295774641E-2</v>
      </c>
      <c r="D25" s="6">
        <v>9.8283931357254287E-2</v>
      </c>
      <c r="E25" s="23">
        <v>0.10565110565110565</v>
      </c>
      <c r="F25" s="3">
        <v>0.10466067048242028</v>
      </c>
      <c r="G25" s="20">
        <v>0.10664479081214109</v>
      </c>
      <c r="H25" s="25">
        <v>0.15417106652587118</v>
      </c>
      <c r="I25" s="3">
        <v>0.15360169491525424</v>
      </c>
      <c r="J25" s="6">
        <v>0.15473684210526314</v>
      </c>
    </row>
    <row r="26" spans="1:10" x14ac:dyDescent="0.45">
      <c r="A26" s="37" t="s">
        <v>85</v>
      </c>
      <c r="B26" s="25">
        <v>8.3984375E-2</v>
      </c>
      <c r="C26" s="3">
        <v>8.2159624413145546E-2</v>
      </c>
      <c r="D26" s="6">
        <v>8.5803432137285487E-2</v>
      </c>
      <c r="E26" s="23">
        <v>0.12366912366912367</v>
      </c>
      <c r="F26" s="3">
        <v>0.12346688470973018</v>
      </c>
      <c r="G26" s="20">
        <v>0.12387202625102543</v>
      </c>
      <c r="H26" s="25">
        <v>0.1235480464625132</v>
      </c>
      <c r="I26" s="3">
        <v>0.11652542372881355</v>
      </c>
      <c r="J26" s="6">
        <v>0.13052631578947368</v>
      </c>
    </row>
    <row r="27" spans="1:10" x14ac:dyDescent="0.45">
      <c r="A27" s="37" t="s">
        <v>86</v>
      </c>
      <c r="B27" s="25">
        <v>9.3359374999999994E-2</v>
      </c>
      <c r="C27" s="3">
        <v>8.9201877934272297E-2</v>
      </c>
      <c r="D27" s="6">
        <v>9.750390015600624E-2</v>
      </c>
      <c r="E27" s="23">
        <v>0.12735462735462735</v>
      </c>
      <c r="F27" s="3">
        <v>0.12919051512673754</v>
      </c>
      <c r="G27" s="20">
        <v>0.12551271534044298</v>
      </c>
      <c r="H27" s="25">
        <v>0.11034846884899684</v>
      </c>
      <c r="I27" s="3">
        <v>0.10911016949152542</v>
      </c>
      <c r="J27" s="6">
        <v>0.11157894736842106</v>
      </c>
    </row>
    <row r="28" spans="1:10" x14ac:dyDescent="0.45">
      <c r="A28" s="37" t="s">
        <v>87</v>
      </c>
      <c r="B28" s="25">
        <v>9.8046875000000006E-2</v>
      </c>
      <c r="C28" s="3">
        <v>0.10485133020344288</v>
      </c>
      <c r="D28" s="6">
        <v>9.1263650546021841E-2</v>
      </c>
      <c r="E28" s="23">
        <v>8.9271089271089274E-2</v>
      </c>
      <c r="F28" s="3">
        <v>8.4219133278822564E-2</v>
      </c>
      <c r="G28" s="20">
        <v>9.4339622641509441E-2</v>
      </c>
      <c r="H28" s="25">
        <v>0.11140443505807814</v>
      </c>
      <c r="I28" s="3">
        <v>0.11122881355932203</v>
      </c>
      <c r="J28" s="6">
        <v>0.11157894736842106</v>
      </c>
    </row>
    <row r="29" spans="1:10" x14ac:dyDescent="0.45">
      <c r="A29" s="37" t="s">
        <v>88</v>
      </c>
      <c r="B29" s="25">
        <v>0.1</v>
      </c>
      <c r="C29" s="3">
        <v>9.7026604068857589E-2</v>
      </c>
      <c r="D29" s="6">
        <v>0.10296411856474259</v>
      </c>
      <c r="E29" s="23">
        <v>7.0434070434070434E-2</v>
      </c>
      <c r="F29" s="3">
        <v>5.9689288634505316E-2</v>
      </c>
      <c r="G29" s="20">
        <v>8.1214109926168995E-2</v>
      </c>
      <c r="H29" s="25">
        <v>6.9165786694825759E-2</v>
      </c>
      <c r="I29" s="3">
        <v>5.4025423728813561E-2</v>
      </c>
      <c r="J29" s="6">
        <v>8.4210526315789472E-2</v>
      </c>
    </row>
    <row r="30" spans="1:10" x14ac:dyDescent="0.45">
      <c r="A30" s="37" t="s">
        <v>89</v>
      </c>
      <c r="B30" s="25">
        <v>8.0468750000000006E-2</v>
      </c>
      <c r="C30" s="3">
        <v>7.2769953051643188E-2</v>
      </c>
      <c r="D30" s="6">
        <v>8.8143525741029641E-2</v>
      </c>
      <c r="E30" s="23">
        <v>7.3710073710073709E-2</v>
      </c>
      <c r="F30" s="3">
        <v>7.0318887980376124E-2</v>
      </c>
      <c r="G30" s="20">
        <v>7.7112387202625102E-2</v>
      </c>
      <c r="H30" s="25">
        <v>5.3326293558606123E-2</v>
      </c>
      <c r="I30" s="3">
        <v>4.8728813559322036E-2</v>
      </c>
      <c r="J30" s="6">
        <v>5.7894736842105263E-2</v>
      </c>
    </row>
    <row r="31" spans="1:10" x14ac:dyDescent="0.45">
      <c r="A31" s="37" t="s">
        <v>90</v>
      </c>
      <c r="B31" s="25">
        <v>6.1328124999999997E-2</v>
      </c>
      <c r="C31" s="3">
        <v>5.7902973395931145E-2</v>
      </c>
      <c r="D31" s="6">
        <v>6.4742589703588149E-2</v>
      </c>
      <c r="E31" s="23">
        <v>4.8730548730548731E-2</v>
      </c>
      <c r="F31" s="3">
        <v>4.4971381847914965E-2</v>
      </c>
      <c r="G31" s="20">
        <v>5.2502050861361775E-2</v>
      </c>
      <c r="H31" s="25">
        <v>3.2734952481520592E-2</v>
      </c>
      <c r="I31" s="3">
        <v>2.3305084745762712E-2</v>
      </c>
      <c r="J31" s="6">
        <v>4.2105263157894736E-2</v>
      </c>
    </row>
    <row r="32" spans="1:10" x14ac:dyDescent="0.45">
      <c r="A32" s="37" t="s">
        <v>91</v>
      </c>
      <c r="B32" s="25">
        <v>4.7656249999999997E-2</v>
      </c>
      <c r="C32" s="3">
        <v>3.7558685446009391E-2</v>
      </c>
      <c r="D32" s="6">
        <v>5.7722308892355696E-2</v>
      </c>
      <c r="E32" s="23">
        <v>3.2350532350532347E-2</v>
      </c>
      <c r="F32" s="3">
        <v>2.2076860179885527E-2</v>
      </c>
      <c r="G32" s="20">
        <v>4.2657916324856437E-2</v>
      </c>
      <c r="H32" s="25">
        <v>1.7423442449841606E-2</v>
      </c>
      <c r="I32" s="3">
        <v>7.4152542372881358E-3</v>
      </c>
      <c r="J32" s="6">
        <v>2.736842105263158E-2</v>
      </c>
    </row>
    <row r="33" spans="1:10" x14ac:dyDescent="0.45">
      <c r="A33" s="37" t="s">
        <v>92</v>
      </c>
      <c r="B33" s="25">
        <v>1.8749999999999999E-2</v>
      </c>
      <c r="C33" s="3">
        <v>5.4773082942097028E-3</v>
      </c>
      <c r="D33" s="6">
        <v>3.1981279251170044E-2</v>
      </c>
      <c r="E33" s="23">
        <v>1.0647010647010647E-2</v>
      </c>
      <c r="F33" s="3">
        <v>3.2706459525756338E-3</v>
      </c>
      <c r="G33" s="20">
        <v>1.8047579983593111E-2</v>
      </c>
      <c r="H33" s="25">
        <v>0</v>
      </c>
      <c r="I33" s="3">
        <v>0</v>
      </c>
      <c r="J33" s="6">
        <v>0</v>
      </c>
    </row>
    <row r="34" spans="1:10" x14ac:dyDescent="0.45">
      <c r="A34" s="37" t="s">
        <v>93</v>
      </c>
      <c r="B34" s="25">
        <v>3.90625E-3</v>
      </c>
      <c r="C34" s="3">
        <v>1.5649452269170579E-3</v>
      </c>
      <c r="D34" s="6">
        <v>6.2402496099843996E-3</v>
      </c>
      <c r="E34" s="23">
        <v>8.1900081900081905E-4</v>
      </c>
      <c r="F34" s="3">
        <v>1.6353229762878169E-3</v>
      </c>
      <c r="G34" s="20">
        <v>0</v>
      </c>
      <c r="H34" s="25">
        <v>0</v>
      </c>
      <c r="I34" s="3">
        <v>0</v>
      </c>
      <c r="J34" s="6">
        <v>0</v>
      </c>
    </row>
    <row r="35" spans="1:10" ht="14.65" thickBot="1" x14ac:dyDescent="0.5">
      <c r="A35" s="38" t="s">
        <v>94</v>
      </c>
      <c r="B35" s="26">
        <v>0</v>
      </c>
      <c r="C35" s="8">
        <v>0</v>
      </c>
      <c r="D35" s="9">
        <v>0</v>
      </c>
      <c r="E35" s="24">
        <v>2.8665028665028664E-3</v>
      </c>
      <c r="F35" s="8">
        <v>1.6353229762878169E-3</v>
      </c>
      <c r="G35" s="21">
        <v>4.1017227235438884E-3</v>
      </c>
      <c r="H35" s="26">
        <v>0</v>
      </c>
      <c r="I35" s="8">
        <v>0</v>
      </c>
      <c r="J35" s="9">
        <v>0</v>
      </c>
    </row>
    <row r="36" spans="1:10" x14ac:dyDescent="0.45">
      <c r="B36" s="11">
        <f t="shared" ref="B36:J36" si="0">SUM(B12:B35)</f>
        <v>0.99999999999999989</v>
      </c>
      <c r="C36" s="11">
        <f t="shared" si="0"/>
        <v>0.99999999999999989</v>
      </c>
      <c r="D36" s="11">
        <f t="shared" si="0"/>
        <v>1</v>
      </c>
      <c r="E36" s="11">
        <f t="shared" si="0"/>
        <v>0.99999999999999989</v>
      </c>
      <c r="F36" s="11">
        <f t="shared" si="0"/>
        <v>0.99999999999999989</v>
      </c>
      <c r="G36" s="11">
        <f t="shared" si="0"/>
        <v>0.99999999999999989</v>
      </c>
      <c r="H36" s="11">
        <f t="shared" si="0"/>
        <v>1</v>
      </c>
      <c r="I36" s="11">
        <f t="shared" si="0"/>
        <v>1</v>
      </c>
      <c r="J36" s="11">
        <f t="shared" si="0"/>
        <v>1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9F0C-B5B4-4E9D-A428-56F2D79F5CFE}">
  <sheetPr>
    <tabColor rgb="FFFFFF00"/>
  </sheetPr>
  <dimension ref="A1:J36"/>
  <sheetViews>
    <sheetView topLeftCell="A4" workbookViewId="0">
      <selection activeCell="A5" sqref="A5:J35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08">
        <v>881</v>
      </c>
      <c r="C5" s="102"/>
      <c r="D5" s="103"/>
      <c r="E5" s="101">
        <v>881</v>
      </c>
      <c r="F5" s="102"/>
      <c r="G5" s="106"/>
      <c r="H5" s="108">
        <v>881</v>
      </c>
      <c r="I5" s="102"/>
      <c r="J5" s="103"/>
    </row>
    <row r="6" spans="1:10" x14ac:dyDescent="0.45">
      <c r="A6" s="37" t="s">
        <v>0</v>
      </c>
      <c r="B6" s="99" t="s">
        <v>43</v>
      </c>
      <c r="C6" s="88"/>
      <c r="D6" s="89"/>
      <c r="E6" s="87" t="s">
        <v>43</v>
      </c>
      <c r="F6" s="88"/>
      <c r="G6" s="104"/>
      <c r="H6" s="99" t="s">
        <v>43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7</v>
      </c>
      <c r="C9" s="91"/>
      <c r="D9" s="92"/>
      <c r="E9" s="90">
        <v>2</v>
      </c>
      <c r="F9" s="91"/>
      <c r="G9" s="105"/>
      <c r="H9" s="100">
        <v>1</v>
      </c>
      <c r="I9" s="91"/>
      <c r="J9" s="92"/>
    </row>
    <row r="10" spans="1:10" x14ac:dyDescent="0.45">
      <c r="A10" s="39"/>
      <c r="B10" s="137" t="s">
        <v>134</v>
      </c>
      <c r="C10" s="85"/>
      <c r="D10" s="86"/>
      <c r="E10" s="136" t="s">
        <v>134</v>
      </c>
      <c r="F10" s="85"/>
      <c r="G10" s="109"/>
      <c r="H10" s="137" t="s">
        <v>134</v>
      </c>
      <c r="I10" s="85"/>
      <c r="J10" s="86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2.8896257697773567E-3</v>
      </c>
      <c r="C12" s="3">
        <v>2.5650769523085691E-3</v>
      </c>
      <c r="D12" s="6">
        <v>3.2123960695389269E-3</v>
      </c>
      <c r="E12" s="23">
        <v>7.2944297082228118E-3</v>
      </c>
      <c r="F12" s="3">
        <v>7.2847682119205302E-3</v>
      </c>
      <c r="G12" s="20">
        <v>7.3041168658698535E-3</v>
      </c>
      <c r="H12" s="25">
        <v>0</v>
      </c>
      <c r="I12" s="3">
        <v>0</v>
      </c>
      <c r="J12" s="6">
        <v>0</v>
      </c>
    </row>
    <row r="13" spans="1:10" x14ac:dyDescent="0.45">
      <c r="A13" s="37" t="s">
        <v>72</v>
      </c>
      <c r="B13" s="25">
        <v>1.5158692562766462E-3</v>
      </c>
      <c r="C13" s="3">
        <v>1.4250427512825384E-3</v>
      </c>
      <c r="D13" s="6">
        <v>1.6061980347694634E-3</v>
      </c>
      <c r="E13" s="23">
        <v>7.6259946949602123E-3</v>
      </c>
      <c r="F13" s="3">
        <v>6.6225165562913907E-3</v>
      </c>
      <c r="G13" s="20">
        <v>8.6321381142098266E-3</v>
      </c>
      <c r="H13" s="25">
        <v>0</v>
      </c>
      <c r="I13" s="3">
        <v>0</v>
      </c>
      <c r="J13" s="6">
        <v>0</v>
      </c>
    </row>
    <row r="14" spans="1:10" x14ac:dyDescent="0.45">
      <c r="A14" s="37" t="s">
        <v>73</v>
      </c>
      <c r="B14" s="25">
        <v>8.5267645665561341E-4</v>
      </c>
      <c r="C14" s="3">
        <v>7.6002280068402056E-4</v>
      </c>
      <c r="D14" s="6">
        <v>9.4482237339380199E-4</v>
      </c>
      <c r="E14" s="23">
        <v>4.6419098143236073E-3</v>
      </c>
      <c r="F14" s="3">
        <v>3.9735099337748344E-3</v>
      </c>
      <c r="G14" s="20">
        <v>5.3120849933598934E-3</v>
      </c>
      <c r="H14" s="25">
        <v>0</v>
      </c>
      <c r="I14" s="3">
        <v>0</v>
      </c>
      <c r="J14" s="6">
        <v>0</v>
      </c>
    </row>
    <row r="15" spans="1:10" x14ac:dyDescent="0.45">
      <c r="A15" s="37" t="s">
        <v>74</v>
      </c>
      <c r="B15" s="25">
        <v>6.6319279962103264E-4</v>
      </c>
      <c r="C15" s="3">
        <v>7.6002280068402056E-4</v>
      </c>
      <c r="D15" s="6">
        <v>5.6689342403628119E-4</v>
      </c>
      <c r="E15" s="23">
        <v>6.6312997347480103E-4</v>
      </c>
      <c r="F15" s="3">
        <v>6.6225165562913907E-4</v>
      </c>
      <c r="G15" s="20">
        <v>6.6401062416998667E-4</v>
      </c>
      <c r="H15" s="25">
        <v>0</v>
      </c>
      <c r="I15" s="3">
        <v>0</v>
      </c>
      <c r="J15" s="6">
        <v>0</v>
      </c>
    </row>
    <row r="16" spans="1:10" x14ac:dyDescent="0.45">
      <c r="A16" s="37" t="s">
        <v>75</v>
      </c>
      <c r="B16" s="25">
        <v>1.1369019422074846E-3</v>
      </c>
      <c r="C16" s="3">
        <v>1.2350370511115334E-3</v>
      </c>
      <c r="D16" s="6">
        <v>1.0393046107331821E-3</v>
      </c>
      <c r="E16" s="23">
        <v>9.9469496021220159E-4</v>
      </c>
      <c r="F16" s="3">
        <v>1.3245033112582781E-3</v>
      </c>
      <c r="G16" s="20">
        <v>6.6401062416998667E-4</v>
      </c>
      <c r="H16" s="25">
        <v>0</v>
      </c>
      <c r="I16" s="3">
        <v>0</v>
      </c>
      <c r="J16" s="6">
        <v>0</v>
      </c>
    </row>
    <row r="17" spans="1:10" x14ac:dyDescent="0.45">
      <c r="A17" s="37" t="s">
        <v>76</v>
      </c>
      <c r="B17" s="25">
        <v>2.9369966840360018E-3</v>
      </c>
      <c r="C17" s="3">
        <v>3.0400912027360822E-3</v>
      </c>
      <c r="D17" s="6">
        <v>2.8344671201814059E-3</v>
      </c>
      <c r="E17" s="23">
        <v>2.6525198938992041E-3</v>
      </c>
      <c r="F17" s="3">
        <v>2.6490066225165563E-3</v>
      </c>
      <c r="G17" s="20">
        <v>2.6560424966799467E-3</v>
      </c>
      <c r="H17" s="25">
        <v>0</v>
      </c>
      <c r="I17" s="3">
        <v>0</v>
      </c>
      <c r="J17" s="6">
        <v>0</v>
      </c>
    </row>
    <row r="18" spans="1:10" x14ac:dyDescent="0.45">
      <c r="A18" s="37" t="s">
        <v>77</v>
      </c>
      <c r="B18" s="25">
        <v>5.8266224538133585E-3</v>
      </c>
      <c r="C18" s="3">
        <v>6.9352080562416875E-3</v>
      </c>
      <c r="D18" s="6">
        <v>4.7241118669690101E-3</v>
      </c>
      <c r="E18" s="23">
        <v>7.9575596816976128E-3</v>
      </c>
      <c r="F18" s="3">
        <v>8.6092715231788075E-3</v>
      </c>
      <c r="G18" s="20">
        <v>7.3041168658698535E-3</v>
      </c>
      <c r="H18" s="25">
        <v>0</v>
      </c>
      <c r="I18" s="3">
        <v>0</v>
      </c>
      <c r="J18" s="6">
        <v>0</v>
      </c>
    </row>
    <row r="19" spans="1:10" x14ac:dyDescent="0.45">
      <c r="A19" s="37" t="s">
        <v>78</v>
      </c>
      <c r="B19" s="25">
        <v>2.4490762671719565E-2</v>
      </c>
      <c r="C19" s="3">
        <v>2.8310849325479764E-2</v>
      </c>
      <c r="D19" s="6">
        <v>2.0691609977324263E-2</v>
      </c>
      <c r="E19" s="23">
        <v>1.823607427055703E-2</v>
      </c>
      <c r="F19" s="3">
        <v>2.119205298013245E-2</v>
      </c>
      <c r="G19" s="20">
        <v>1.5272244355909695E-2</v>
      </c>
      <c r="H19" s="25">
        <v>4.8939641109298528E-3</v>
      </c>
      <c r="I19" s="3">
        <v>9.7087378640776691E-3</v>
      </c>
      <c r="J19" s="6">
        <v>0</v>
      </c>
    </row>
    <row r="20" spans="1:10" x14ac:dyDescent="0.45">
      <c r="A20" s="37" t="s">
        <v>79</v>
      </c>
      <c r="B20" s="25">
        <v>3.2638559924206535E-2</v>
      </c>
      <c r="C20" s="3">
        <v>3.5626068782063459E-2</v>
      </c>
      <c r="D20" s="6">
        <v>2.9667422524565383E-2</v>
      </c>
      <c r="E20" s="23">
        <v>3.3156498673740056E-2</v>
      </c>
      <c r="F20" s="3">
        <v>3.5761589403973511E-2</v>
      </c>
      <c r="G20" s="20">
        <v>3.054448871181939E-2</v>
      </c>
      <c r="H20" s="25">
        <v>2.4469820554649267E-2</v>
      </c>
      <c r="I20" s="3">
        <v>2.2653721682847898E-2</v>
      </c>
      <c r="J20" s="6">
        <v>2.6315789473684209E-2</v>
      </c>
    </row>
    <row r="21" spans="1:10" x14ac:dyDescent="0.45">
      <c r="A21" s="37" t="s">
        <v>80</v>
      </c>
      <c r="B21" s="25">
        <v>4.5333964945523449E-2</v>
      </c>
      <c r="C21" s="3">
        <v>4.6741402242067263E-2</v>
      </c>
      <c r="D21" s="6">
        <v>4.3934240362811794E-2</v>
      </c>
      <c r="E21" s="23">
        <v>4.1777188328912467E-2</v>
      </c>
      <c r="F21" s="3">
        <v>4.4370860927152318E-2</v>
      </c>
      <c r="G21" s="20">
        <v>3.9176626826029216E-2</v>
      </c>
      <c r="H21" s="25">
        <v>6.3621533442088096E-2</v>
      </c>
      <c r="I21" s="3">
        <v>7.7669902912621352E-2</v>
      </c>
      <c r="J21" s="6">
        <v>4.9342105263157895E-2</v>
      </c>
    </row>
    <row r="22" spans="1:10" x14ac:dyDescent="0.45">
      <c r="A22" s="37" t="s">
        <v>81</v>
      </c>
      <c r="B22" s="25">
        <v>5.7792515395547132E-2</v>
      </c>
      <c r="C22" s="3">
        <v>5.8996769903097095E-2</v>
      </c>
      <c r="D22" s="6">
        <v>5.6594860166288737E-2</v>
      </c>
      <c r="E22" s="23">
        <v>5.9350132625994693E-2</v>
      </c>
      <c r="F22" s="3">
        <v>6.3576158940397351E-2</v>
      </c>
      <c r="G22" s="20">
        <v>5.5112881806108897E-2</v>
      </c>
      <c r="H22" s="25">
        <v>9.951060358890701E-2</v>
      </c>
      <c r="I22" s="3">
        <v>0.10355987055016182</v>
      </c>
      <c r="J22" s="6">
        <v>9.5394736842105268E-2</v>
      </c>
    </row>
    <row r="23" spans="1:10" x14ac:dyDescent="0.45">
      <c r="A23" s="37" t="s">
        <v>82</v>
      </c>
      <c r="B23" s="25">
        <v>7.8825201326385597E-2</v>
      </c>
      <c r="C23" s="3">
        <v>7.9612388371651147E-2</v>
      </c>
      <c r="D23" s="6">
        <v>7.8042328042328038E-2</v>
      </c>
      <c r="E23" s="23">
        <v>7.9575596816976124E-2</v>
      </c>
      <c r="F23" s="3">
        <v>7.8145695364238404E-2</v>
      </c>
      <c r="G23" s="20">
        <v>8.1009296148738377E-2</v>
      </c>
      <c r="H23" s="25">
        <v>9.1353996737357265E-2</v>
      </c>
      <c r="I23" s="3">
        <v>0.10032362459546926</v>
      </c>
      <c r="J23" s="6">
        <v>8.2236842105263164E-2</v>
      </c>
    </row>
    <row r="24" spans="1:10" x14ac:dyDescent="0.45">
      <c r="A24" s="37" t="s">
        <v>83</v>
      </c>
      <c r="B24" s="25">
        <v>8.3278067266698244E-2</v>
      </c>
      <c r="C24" s="3">
        <v>8.4267528025840768E-2</v>
      </c>
      <c r="D24" s="6">
        <v>8.2294028722600152E-2</v>
      </c>
      <c r="E24" s="23">
        <v>9.2838196286472149E-2</v>
      </c>
      <c r="F24" s="3">
        <v>9.5364238410596033E-2</v>
      </c>
      <c r="G24" s="20">
        <v>9.0305444887118197E-2</v>
      </c>
      <c r="H24" s="25">
        <v>0.11092985318107668</v>
      </c>
      <c r="I24" s="3">
        <v>0.11003236245954692</v>
      </c>
      <c r="J24" s="6">
        <v>0.1118421052631579</v>
      </c>
    </row>
    <row r="25" spans="1:10" x14ac:dyDescent="0.45">
      <c r="A25" s="37" t="s">
        <v>84</v>
      </c>
      <c r="B25" s="25">
        <v>8.3609663666508766E-2</v>
      </c>
      <c r="C25" s="3">
        <v>8.569257077712332E-2</v>
      </c>
      <c r="D25" s="6">
        <v>8.1538170823885106E-2</v>
      </c>
      <c r="E25" s="23">
        <v>8.4549071618037139E-2</v>
      </c>
      <c r="F25" s="3">
        <v>8.4768211920529801E-2</v>
      </c>
      <c r="G25" s="20">
        <v>8.4329349269588308E-2</v>
      </c>
      <c r="H25" s="25">
        <v>0.10766721044045677</v>
      </c>
      <c r="I25" s="3">
        <v>0.11003236245954692</v>
      </c>
      <c r="J25" s="6">
        <v>0.10526315789473684</v>
      </c>
    </row>
    <row r="26" spans="1:10" x14ac:dyDescent="0.45">
      <c r="A26" s="37" t="s">
        <v>85</v>
      </c>
      <c r="B26" s="25">
        <v>8.3514921837991474E-2</v>
      </c>
      <c r="C26" s="3">
        <v>8.0657419722591675E-2</v>
      </c>
      <c r="D26" s="6">
        <v>8.6356764928193497E-2</v>
      </c>
      <c r="E26" s="23">
        <v>9.9801061007957562E-2</v>
      </c>
      <c r="F26" s="3">
        <v>9.8675496688741718E-2</v>
      </c>
      <c r="G26" s="20">
        <v>0.10092961487383798</v>
      </c>
      <c r="H26" s="25">
        <v>0.11092985318107668</v>
      </c>
      <c r="I26" s="3">
        <v>0.11003236245954692</v>
      </c>
      <c r="J26" s="6">
        <v>0.1118421052631579</v>
      </c>
    </row>
    <row r="27" spans="1:10" x14ac:dyDescent="0.45">
      <c r="A27" s="37" t="s">
        <v>86</v>
      </c>
      <c r="B27" s="25">
        <v>8.4699194694457608E-2</v>
      </c>
      <c r="C27" s="3">
        <v>8.7307619228576855E-2</v>
      </c>
      <c r="D27" s="6">
        <v>8.2105064247921397E-2</v>
      </c>
      <c r="E27" s="23">
        <v>0.10112732095490716</v>
      </c>
      <c r="F27" s="3">
        <v>0.10132450331125828</v>
      </c>
      <c r="G27" s="20">
        <v>0.10092961487383798</v>
      </c>
      <c r="H27" s="25">
        <v>0.13703099510603589</v>
      </c>
      <c r="I27" s="3">
        <v>0.13592233009708737</v>
      </c>
      <c r="J27" s="6">
        <v>0.13815789473684212</v>
      </c>
    </row>
    <row r="28" spans="1:10" x14ac:dyDescent="0.45">
      <c r="A28" s="37" t="s">
        <v>87</v>
      </c>
      <c r="B28" s="25">
        <v>9.441023211747987E-2</v>
      </c>
      <c r="C28" s="3">
        <v>9.709291278738362E-2</v>
      </c>
      <c r="D28" s="6">
        <v>9.1742252456538165E-2</v>
      </c>
      <c r="E28" s="23">
        <v>8.1896551724137928E-2</v>
      </c>
      <c r="F28" s="3">
        <v>7.7483443708609268E-2</v>
      </c>
      <c r="G28" s="20">
        <v>8.632138114209828E-2</v>
      </c>
      <c r="H28" s="25">
        <v>9.2985318107667206E-2</v>
      </c>
      <c r="I28" s="3">
        <v>9.0614886731391592E-2</v>
      </c>
      <c r="J28" s="6">
        <v>9.5394736842105268E-2</v>
      </c>
    </row>
    <row r="29" spans="1:10" x14ac:dyDescent="0.45">
      <c r="A29" s="37" t="s">
        <v>88</v>
      </c>
      <c r="B29" s="25">
        <v>9.3415442918048319E-2</v>
      </c>
      <c r="C29" s="3">
        <v>9.0347710431312941E-2</v>
      </c>
      <c r="D29" s="6">
        <v>9.6466364323507178E-2</v>
      </c>
      <c r="E29" s="23">
        <v>6.49867374005305E-2</v>
      </c>
      <c r="F29" s="3">
        <v>6.4238410596026488E-2</v>
      </c>
      <c r="G29" s="20">
        <v>6.5737051792828682E-2</v>
      </c>
      <c r="H29" s="25">
        <v>6.3621533442088096E-2</v>
      </c>
      <c r="I29" s="3">
        <v>5.5016181229773461E-2</v>
      </c>
      <c r="J29" s="6">
        <v>7.2368421052631582E-2</v>
      </c>
    </row>
    <row r="30" spans="1:10" x14ac:dyDescent="0.45">
      <c r="A30" s="37" t="s">
        <v>89</v>
      </c>
      <c r="B30" s="25">
        <v>6.4140217906205596E-2</v>
      </c>
      <c r="C30" s="3">
        <v>6.2511875356260682E-2</v>
      </c>
      <c r="D30" s="6">
        <v>6.5759637188208611E-2</v>
      </c>
      <c r="E30" s="23">
        <v>6.7307692307692304E-2</v>
      </c>
      <c r="F30" s="3">
        <v>6.5562913907284762E-2</v>
      </c>
      <c r="G30" s="20">
        <v>6.9057104913678613E-2</v>
      </c>
      <c r="H30" s="25">
        <v>3.7520391517128875E-2</v>
      </c>
      <c r="I30" s="3">
        <v>2.5889967637540454E-2</v>
      </c>
      <c r="J30" s="6">
        <v>4.9342105263157895E-2</v>
      </c>
    </row>
    <row r="31" spans="1:10" x14ac:dyDescent="0.45">
      <c r="A31" s="37" t="s">
        <v>90</v>
      </c>
      <c r="B31" s="25">
        <v>5.6892468024632874E-2</v>
      </c>
      <c r="C31" s="3">
        <v>5.3961618848565457E-2</v>
      </c>
      <c r="D31" s="6">
        <v>5.9807256235827666E-2</v>
      </c>
      <c r="E31" s="23">
        <v>4.0782493368700268E-2</v>
      </c>
      <c r="F31" s="3">
        <v>4.0397350993377483E-2</v>
      </c>
      <c r="G31" s="20">
        <v>4.1168658698539175E-2</v>
      </c>
      <c r="H31" s="25">
        <v>2.1207177814029365E-2</v>
      </c>
      <c r="I31" s="3">
        <v>1.6181229773462782E-2</v>
      </c>
      <c r="J31" s="6">
        <v>2.6315789473684209E-2</v>
      </c>
    </row>
    <row r="32" spans="1:10" x14ac:dyDescent="0.45">
      <c r="A32" s="37" t="s">
        <v>91</v>
      </c>
      <c r="B32" s="25">
        <v>4.2349597347228804E-2</v>
      </c>
      <c r="C32" s="3">
        <v>4.2751282538476154E-2</v>
      </c>
      <c r="D32" s="6">
        <v>4.195011337868481E-2</v>
      </c>
      <c r="E32" s="23">
        <v>3.4814323607427054E-2</v>
      </c>
      <c r="F32" s="3">
        <v>3.2450331125827812E-2</v>
      </c>
      <c r="G32" s="20">
        <v>3.7184594953519258E-2</v>
      </c>
      <c r="H32" s="25">
        <v>2.1207177814029365E-2</v>
      </c>
      <c r="I32" s="3">
        <v>2.2653721682847898E-2</v>
      </c>
      <c r="J32" s="6">
        <v>1.9736842105263157E-2</v>
      </c>
    </row>
    <row r="33" spans="1:10" x14ac:dyDescent="0.45">
      <c r="A33" s="37" t="s">
        <v>92</v>
      </c>
      <c r="B33" s="25">
        <v>3.6049265750828993E-2</v>
      </c>
      <c r="C33" s="3">
        <v>3.3060991829754895E-2</v>
      </c>
      <c r="D33" s="6">
        <v>3.9021164021164019E-2</v>
      </c>
      <c r="E33" s="23">
        <v>2.4535809018567639E-2</v>
      </c>
      <c r="F33" s="3">
        <v>2.1854304635761591E-2</v>
      </c>
      <c r="G33" s="20">
        <v>2.7224435590969456E-2</v>
      </c>
      <c r="H33" s="25">
        <v>1.1419249592169658E-2</v>
      </c>
      <c r="I33" s="3">
        <v>9.7087378640776691E-3</v>
      </c>
      <c r="J33" s="6">
        <v>1.3157894736842105E-2</v>
      </c>
    </row>
    <row r="34" spans="1:10" x14ac:dyDescent="0.45">
      <c r="A34" s="37" t="s">
        <v>93</v>
      </c>
      <c r="B34" s="25">
        <v>1.7669351018474656E-2</v>
      </c>
      <c r="C34" s="3">
        <v>1.2065361960858825E-2</v>
      </c>
      <c r="D34" s="6">
        <v>2.3242630385487528E-2</v>
      </c>
      <c r="E34" s="23">
        <v>2.5198938992042442E-2</v>
      </c>
      <c r="F34" s="3">
        <v>2.5165562913907286E-2</v>
      </c>
      <c r="G34" s="20">
        <v>2.5232403718459494E-2</v>
      </c>
      <c r="H34" s="25">
        <v>1.6313213703099511E-3</v>
      </c>
      <c r="I34" s="3">
        <v>0</v>
      </c>
      <c r="J34" s="6">
        <v>3.2894736842105261E-3</v>
      </c>
    </row>
    <row r="35" spans="1:10" ht="14.65" thickBot="1" x14ac:dyDescent="0.5">
      <c r="A35" s="38" t="s">
        <v>94</v>
      </c>
      <c r="B35" s="26">
        <v>5.0686878256750358E-3</v>
      </c>
      <c r="C35" s="8">
        <v>4.2751282538476152E-3</v>
      </c>
      <c r="D35" s="9">
        <v>5.8578987150415722E-3</v>
      </c>
      <c r="E35" s="24">
        <v>1.823607427055703E-2</v>
      </c>
      <c r="F35" s="8">
        <v>1.8543046357615896E-2</v>
      </c>
      <c r="G35" s="21">
        <v>1.7928286852589643E-2</v>
      </c>
      <c r="H35" s="26">
        <v>0</v>
      </c>
      <c r="I35" s="8">
        <v>0</v>
      </c>
      <c r="J35" s="9">
        <v>0</v>
      </c>
    </row>
    <row r="36" spans="1:10" x14ac:dyDescent="0.45">
      <c r="B36" s="11">
        <f t="shared" ref="B36:J36" si="0">SUM(B12:B35)</f>
        <v>1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1</v>
      </c>
      <c r="G36" s="11">
        <f t="shared" si="0"/>
        <v>0.99999999999999978</v>
      </c>
      <c r="H36" s="11">
        <f t="shared" si="0"/>
        <v>1</v>
      </c>
      <c r="I36" s="11">
        <f t="shared" si="0"/>
        <v>1.0000000000000002</v>
      </c>
      <c r="J36" s="11">
        <f t="shared" si="0"/>
        <v>1.0000000000000002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673E-881A-4329-B4B5-01720108C051}">
  <sheetPr>
    <tabColor rgb="FFFFFF00"/>
  </sheetPr>
  <dimension ref="A1:G36"/>
  <sheetViews>
    <sheetView topLeftCell="A4" workbookViewId="0">
      <selection activeCell="A10" sqref="A10:G35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x14ac:dyDescent="0.45">
      <c r="A3" s="99" t="s">
        <v>157</v>
      </c>
      <c r="B3" s="88"/>
      <c r="C3" s="88"/>
      <c r="D3" s="88"/>
      <c r="E3" s="88"/>
      <c r="F3" s="88"/>
      <c r="G3" s="89"/>
    </row>
    <row r="4" spans="1:7" ht="14.65" thickBot="1" x14ac:dyDescent="0.5">
      <c r="A4" s="100"/>
      <c r="B4" s="91"/>
      <c r="C4" s="91"/>
      <c r="D4" s="91"/>
      <c r="E4" s="91"/>
      <c r="F4" s="91"/>
      <c r="G4" s="92"/>
    </row>
    <row r="5" spans="1:7" x14ac:dyDescent="0.45">
      <c r="A5" s="36" t="s">
        <v>68</v>
      </c>
      <c r="B5" s="108">
        <v>882</v>
      </c>
      <c r="C5" s="102"/>
      <c r="D5" s="103"/>
      <c r="E5" s="101">
        <v>882</v>
      </c>
      <c r="F5" s="102"/>
      <c r="G5" s="103"/>
    </row>
    <row r="6" spans="1:7" x14ac:dyDescent="0.45">
      <c r="A6" s="37" t="s">
        <v>0</v>
      </c>
      <c r="B6" s="99" t="s">
        <v>199</v>
      </c>
      <c r="C6" s="88"/>
      <c r="D6" s="89"/>
      <c r="E6" s="87" t="s">
        <v>199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89"/>
    </row>
    <row r="9" spans="1:7" ht="14.65" thickBot="1" x14ac:dyDescent="0.5">
      <c r="A9" s="38" t="s">
        <v>64</v>
      </c>
      <c r="B9" s="100">
        <v>4</v>
      </c>
      <c r="C9" s="91"/>
      <c r="D9" s="92"/>
      <c r="E9" s="90">
        <v>4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>
        <v>0</v>
      </c>
      <c r="C12" s="3">
        <v>0</v>
      </c>
      <c r="D12" s="6">
        <v>0</v>
      </c>
      <c r="E12" s="23">
        <v>0</v>
      </c>
      <c r="F12" s="3">
        <v>0</v>
      </c>
      <c r="G12" s="6">
        <v>0</v>
      </c>
    </row>
    <row r="13" spans="1:7" x14ac:dyDescent="0.45">
      <c r="A13" s="37" t="s">
        <v>72</v>
      </c>
      <c r="B13" s="25">
        <v>0</v>
      </c>
      <c r="C13" s="3">
        <v>0</v>
      </c>
      <c r="D13" s="6">
        <v>0</v>
      </c>
      <c r="E13" s="23">
        <v>0</v>
      </c>
      <c r="F13" s="3">
        <v>0</v>
      </c>
      <c r="G13" s="6">
        <v>0</v>
      </c>
    </row>
    <row r="14" spans="1:7" x14ac:dyDescent="0.45">
      <c r="A14" s="37" t="s">
        <v>73</v>
      </c>
      <c r="B14" s="25">
        <v>0</v>
      </c>
      <c r="C14" s="3">
        <v>0</v>
      </c>
      <c r="D14" s="6">
        <v>0</v>
      </c>
      <c r="E14" s="23">
        <v>0</v>
      </c>
      <c r="F14" s="3">
        <v>0</v>
      </c>
      <c r="G14" s="6">
        <v>0</v>
      </c>
    </row>
    <row r="15" spans="1:7" x14ac:dyDescent="0.45">
      <c r="A15" s="37" t="s">
        <v>74</v>
      </c>
      <c r="B15" s="25">
        <v>0</v>
      </c>
      <c r="C15" s="3">
        <v>0</v>
      </c>
      <c r="D15" s="6">
        <v>0</v>
      </c>
      <c r="E15" s="23">
        <v>0</v>
      </c>
      <c r="F15" s="3">
        <v>0</v>
      </c>
      <c r="G15" s="6">
        <v>0</v>
      </c>
    </row>
    <row r="16" spans="1:7" x14ac:dyDescent="0.45">
      <c r="A16" s="37" t="s">
        <v>75</v>
      </c>
      <c r="B16" s="25">
        <v>4.5934772622875517E-4</v>
      </c>
      <c r="C16" s="3">
        <v>4.608294930875576E-4</v>
      </c>
      <c r="D16" s="6">
        <v>4.5787545787545788E-4</v>
      </c>
      <c r="E16" s="23">
        <v>0</v>
      </c>
      <c r="F16" s="3">
        <v>0</v>
      </c>
      <c r="G16" s="6">
        <v>0</v>
      </c>
    </row>
    <row r="17" spans="1:7" x14ac:dyDescent="0.45">
      <c r="A17" s="37" t="s">
        <v>76</v>
      </c>
      <c r="B17" s="25">
        <v>1.1483693155718878E-3</v>
      </c>
      <c r="C17" s="3">
        <v>1.3824884792626728E-3</v>
      </c>
      <c r="D17" s="6">
        <v>9.1575091575091575E-4</v>
      </c>
      <c r="E17" s="23">
        <v>0</v>
      </c>
      <c r="F17" s="3">
        <v>0</v>
      </c>
      <c r="G17" s="6">
        <v>0</v>
      </c>
    </row>
    <row r="18" spans="1:7" x14ac:dyDescent="0.45">
      <c r="A18" s="37" t="s">
        <v>77</v>
      </c>
      <c r="B18" s="25">
        <v>2.5264124942581535E-3</v>
      </c>
      <c r="C18" s="3">
        <v>4.1474654377880189E-3</v>
      </c>
      <c r="D18" s="6">
        <v>9.1575091575091575E-4</v>
      </c>
      <c r="E18" s="23">
        <v>8.9485458612975394E-4</v>
      </c>
      <c r="F18" s="3">
        <v>9.0009000900090005E-4</v>
      </c>
      <c r="G18" s="6">
        <v>8.8967971530249106E-4</v>
      </c>
    </row>
    <row r="19" spans="1:7" x14ac:dyDescent="0.45">
      <c r="A19" s="37" t="s">
        <v>78</v>
      </c>
      <c r="B19" s="25">
        <v>7.8089113458888375E-3</v>
      </c>
      <c r="C19" s="3">
        <v>1.3824884792626729E-2</v>
      </c>
      <c r="D19" s="6">
        <v>1.8315018315018315E-3</v>
      </c>
      <c r="E19" s="23">
        <v>4.9217002237136468E-3</v>
      </c>
      <c r="F19" s="3">
        <v>8.1008100810081012E-3</v>
      </c>
      <c r="G19" s="6">
        <v>1.7793594306049821E-3</v>
      </c>
    </row>
    <row r="20" spans="1:7" x14ac:dyDescent="0.45">
      <c r="A20" s="37" t="s">
        <v>79</v>
      </c>
      <c r="B20" s="25">
        <v>3.8585209003215437E-2</v>
      </c>
      <c r="C20" s="3">
        <v>4.1013824884792625E-2</v>
      </c>
      <c r="D20" s="6">
        <v>3.6172161172161175E-2</v>
      </c>
      <c r="E20" s="23">
        <v>1.7897091722595078E-2</v>
      </c>
      <c r="F20" s="3">
        <v>1.8901890189018902E-2</v>
      </c>
      <c r="G20" s="6">
        <v>1.6903914590747332E-2</v>
      </c>
    </row>
    <row r="21" spans="1:7" x14ac:dyDescent="0.45">
      <c r="A21" s="37" t="s">
        <v>80</v>
      </c>
      <c r="B21" s="25">
        <v>4.7542489664676162E-2</v>
      </c>
      <c r="C21" s="3">
        <v>5.2534562211981564E-2</v>
      </c>
      <c r="D21" s="6">
        <v>4.2582417582417584E-2</v>
      </c>
      <c r="E21" s="23">
        <v>4.2505592841163314E-2</v>
      </c>
      <c r="F21" s="3">
        <v>5.4905490549054907E-2</v>
      </c>
      <c r="G21" s="6">
        <v>3.0249110320284697E-2</v>
      </c>
    </row>
    <row r="22" spans="1:7" x14ac:dyDescent="0.45">
      <c r="A22" s="37" t="s">
        <v>81</v>
      </c>
      <c r="B22" s="25">
        <v>7.8089113458888373E-2</v>
      </c>
      <c r="C22" s="3">
        <v>8.1566820276497698E-2</v>
      </c>
      <c r="D22" s="6">
        <v>7.4633699633699632E-2</v>
      </c>
      <c r="E22" s="23">
        <v>9.7539149888143176E-2</v>
      </c>
      <c r="F22" s="3">
        <v>9.9009900990099015E-2</v>
      </c>
      <c r="G22" s="6">
        <v>9.6085409252669035E-2</v>
      </c>
    </row>
    <row r="23" spans="1:7" x14ac:dyDescent="0.45">
      <c r="A23" s="37" t="s">
        <v>82</v>
      </c>
      <c r="B23" s="25">
        <v>7.9696830500689028E-2</v>
      </c>
      <c r="C23" s="3">
        <v>8.0645161290322578E-2</v>
      </c>
      <c r="D23" s="6">
        <v>7.8754578754578752E-2</v>
      </c>
      <c r="E23" s="23">
        <v>8.7695749440715884E-2</v>
      </c>
      <c r="F23" s="3">
        <v>9.3609360936093608E-2</v>
      </c>
      <c r="G23" s="6">
        <v>8.1850533807829182E-2</v>
      </c>
    </row>
    <row r="24" spans="1:7" x14ac:dyDescent="0.45">
      <c r="A24" s="37" t="s">
        <v>83</v>
      </c>
      <c r="B24" s="25">
        <v>8.980248047772163E-2</v>
      </c>
      <c r="C24" s="3">
        <v>9.0783410138248852E-2</v>
      </c>
      <c r="D24" s="6">
        <v>8.8827838827838831E-2</v>
      </c>
      <c r="E24" s="23">
        <v>0.10827740492170022</v>
      </c>
      <c r="F24" s="3">
        <v>0.10441044104410441</v>
      </c>
      <c r="G24" s="6">
        <v>0.11209964412811388</v>
      </c>
    </row>
    <row r="25" spans="1:7" x14ac:dyDescent="0.45">
      <c r="A25" s="37" t="s">
        <v>84</v>
      </c>
      <c r="B25" s="25">
        <v>8.1304547542489669E-2</v>
      </c>
      <c r="C25" s="3">
        <v>8.294930875576037E-2</v>
      </c>
      <c r="D25" s="6">
        <v>7.9670329670329665E-2</v>
      </c>
      <c r="E25" s="23">
        <v>8.9932885906040275E-2</v>
      </c>
      <c r="F25" s="3">
        <v>9.0009000900090008E-2</v>
      </c>
      <c r="G25" s="6">
        <v>8.9857651245551604E-2</v>
      </c>
    </row>
    <row r="26" spans="1:7" x14ac:dyDescent="0.45">
      <c r="A26" s="37" t="s">
        <v>85</v>
      </c>
      <c r="B26" s="25">
        <v>8.8883785025264131E-2</v>
      </c>
      <c r="C26" s="3">
        <v>8.4331797235023043E-2</v>
      </c>
      <c r="D26" s="6">
        <v>9.3406593406593408E-2</v>
      </c>
      <c r="E26" s="23">
        <v>0.10425055928411633</v>
      </c>
      <c r="F26" s="3">
        <v>0.10171017101710171</v>
      </c>
      <c r="G26" s="6">
        <v>0.10676156583629894</v>
      </c>
    </row>
    <row r="27" spans="1:7" x14ac:dyDescent="0.45">
      <c r="A27" s="37" t="s">
        <v>86</v>
      </c>
      <c r="B27" s="25">
        <v>9.7381717960496092E-2</v>
      </c>
      <c r="C27" s="3">
        <v>9.9078341013824886E-2</v>
      </c>
      <c r="D27" s="6">
        <v>9.5695970695970689E-2</v>
      </c>
      <c r="E27" s="23">
        <v>0.10380313199105146</v>
      </c>
      <c r="F27" s="3">
        <v>0.10261026102610261</v>
      </c>
      <c r="G27" s="6">
        <v>0.10498220640569395</v>
      </c>
    </row>
    <row r="28" spans="1:7" x14ac:dyDescent="0.45">
      <c r="A28" s="37" t="s">
        <v>87</v>
      </c>
      <c r="B28" s="25">
        <v>0.1136885622416169</v>
      </c>
      <c r="C28" s="3">
        <v>0.11290322580645161</v>
      </c>
      <c r="D28" s="6">
        <v>0.11446886446886446</v>
      </c>
      <c r="E28" s="23">
        <v>0.10067114093959731</v>
      </c>
      <c r="F28" s="3">
        <v>0.10261026102610261</v>
      </c>
      <c r="G28" s="6">
        <v>9.8754448398576514E-2</v>
      </c>
    </row>
    <row r="29" spans="1:7" x14ac:dyDescent="0.45">
      <c r="A29" s="37" t="s">
        <v>88</v>
      </c>
      <c r="B29" s="25">
        <v>0.1240238860817639</v>
      </c>
      <c r="C29" s="3">
        <v>0.12442396313364056</v>
      </c>
      <c r="D29" s="6">
        <v>0.12362637362637363</v>
      </c>
      <c r="E29" s="23">
        <v>0.12572706935123043</v>
      </c>
      <c r="F29" s="3">
        <v>0.12691269126912691</v>
      </c>
      <c r="G29" s="6">
        <v>0.12455516014234876</v>
      </c>
    </row>
    <row r="30" spans="1:7" x14ac:dyDescent="0.45">
      <c r="A30" s="37" t="s">
        <v>89</v>
      </c>
      <c r="B30" s="25">
        <v>0.13642627468994029</v>
      </c>
      <c r="C30" s="3">
        <v>0.12534562211981568</v>
      </c>
      <c r="D30" s="6">
        <v>0.14743589743589744</v>
      </c>
      <c r="E30" s="23">
        <v>0.10067114093959731</v>
      </c>
      <c r="F30" s="3">
        <v>9.0009000900090008E-2</v>
      </c>
      <c r="G30" s="6">
        <v>0.11120996441281139</v>
      </c>
    </row>
    <row r="31" spans="1:7" x14ac:dyDescent="0.45">
      <c r="A31" s="37" t="s">
        <v>90</v>
      </c>
      <c r="B31" s="25">
        <v>9.416628387689481E-3</v>
      </c>
      <c r="C31" s="3">
        <v>2.304147465437788E-3</v>
      </c>
      <c r="D31" s="6">
        <v>1.6483516483516484E-2</v>
      </c>
      <c r="E31" s="23">
        <v>9.8434004474272935E-3</v>
      </c>
      <c r="F31" s="3">
        <v>2.7002700270027003E-3</v>
      </c>
      <c r="G31" s="6">
        <v>1.6903914590747332E-2</v>
      </c>
    </row>
    <row r="32" spans="1:7" x14ac:dyDescent="0.45">
      <c r="A32" s="37" t="s">
        <v>91</v>
      </c>
      <c r="B32" s="25">
        <v>1.8373909049150207E-3</v>
      </c>
      <c r="C32" s="3">
        <v>1.3824884792626728E-3</v>
      </c>
      <c r="D32" s="6">
        <v>2.2893772893772895E-3</v>
      </c>
      <c r="E32" s="23">
        <v>3.5794183445190158E-3</v>
      </c>
      <c r="F32" s="3">
        <v>2.7002700270027003E-3</v>
      </c>
      <c r="G32" s="6">
        <v>4.4483985765124559E-3</v>
      </c>
    </row>
    <row r="33" spans="1:7" x14ac:dyDescent="0.45">
      <c r="A33" s="37" t="s">
        <v>92</v>
      </c>
      <c r="B33" s="25">
        <v>4.5934772622875517E-4</v>
      </c>
      <c r="C33" s="3">
        <v>0</v>
      </c>
      <c r="D33" s="6">
        <v>9.1575091575091575E-4</v>
      </c>
      <c r="E33" s="23">
        <v>1.7897091722595079E-3</v>
      </c>
      <c r="F33" s="3">
        <v>9.0009000900090005E-4</v>
      </c>
      <c r="G33" s="6">
        <v>2.6690391459074734E-3</v>
      </c>
    </row>
    <row r="34" spans="1:7" x14ac:dyDescent="0.45">
      <c r="A34" s="37" t="s">
        <v>93</v>
      </c>
      <c r="B34" s="25">
        <v>4.5934772622875517E-4</v>
      </c>
      <c r="C34" s="3">
        <v>4.608294930875576E-4</v>
      </c>
      <c r="D34" s="6">
        <v>4.5787545787545788E-4</v>
      </c>
      <c r="E34" s="23">
        <v>0</v>
      </c>
      <c r="F34" s="3">
        <v>0</v>
      </c>
      <c r="G34" s="6">
        <v>0</v>
      </c>
    </row>
    <row r="35" spans="1:7" ht="14.65" thickBot="1" x14ac:dyDescent="0.5">
      <c r="A35" s="38" t="s">
        <v>94</v>
      </c>
      <c r="B35" s="26">
        <v>4.5934772622875517E-4</v>
      </c>
      <c r="C35" s="8">
        <v>4.608294930875576E-4</v>
      </c>
      <c r="D35" s="9">
        <v>4.5787545787545788E-4</v>
      </c>
      <c r="E35" s="24">
        <v>0</v>
      </c>
      <c r="F35" s="8">
        <v>0</v>
      </c>
      <c r="G35" s="9">
        <v>0</v>
      </c>
    </row>
    <row r="36" spans="1:7" x14ac:dyDescent="0.45">
      <c r="B36" s="11">
        <f t="shared" ref="B36:G36" si="0">SUM(B12:B35)</f>
        <v>1</v>
      </c>
      <c r="C36" s="11">
        <f t="shared" si="0"/>
        <v>1</v>
      </c>
      <c r="D36" s="11">
        <f t="shared" si="0"/>
        <v>1.0000000000000002</v>
      </c>
      <c r="E36" s="11">
        <f t="shared" si="0"/>
        <v>0.99999999999999989</v>
      </c>
      <c r="F36" s="11">
        <f t="shared" si="0"/>
        <v>0.99999999999999989</v>
      </c>
      <c r="G36" s="11">
        <f t="shared" si="0"/>
        <v>1.0000000000000002</v>
      </c>
    </row>
  </sheetData>
  <mergeCells count="15">
    <mergeCell ref="B6:D6"/>
    <mergeCell ref="E6:G6"/>
    <mergeCell ref="B7:D7"/>
    <mergeCell ref="E7:G7"/>
    <mergeCell ref="A1:G2"/>
    <mergeCell ref="A3:G3"/>
    <mergeCell ref="A4:G4"/>
    <mergeCell ref="B5:D5"/>
    <mergeCell ref="E5:G5"/>
    <mergeCell ref="B10:D10"/>
    <mergeCell ref="E10:G10"/>
    <mergeCell ref="B8:D8"/>
    <mergeCell ref="E8:G8"/>
    <mergeCell ref="B9:D9"/>
    <mergeCell ref="E9:G9"/>
  </mergeCells>
  <pageMargins left="0.7" right="0.7" top="0.75" bottom="0.75" header="0.3" footer="0.3"/>
  <pageSetup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FF00"/>
  </sheetPr>
  <dimension ref="A1:D36"/>
  <sheetViews>
    <sheetView topLeftCell="A6" workbookViewId="0">
      <selection activeCell="K19" sqref="K19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110" t="s">
        <v>70</v>
      </c>
      <c r="B1" s="111"/>
      <c r="C1" s="111"/>
      <c r="D1" s="112"/>
    </row>
    <row r="2" spans="1:4" x14ac:dyDescent="0.45">
      <c r="A2" s="113"/>
      <c r="B2" s="114"/>
      <c r="C2" s="114"/>
      <c r="D2" s="115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19"/>
      <c r="B4" s="120"/>
      <c r="C4" s="120"/>
      <c r="D4" s="121"/>
    </row>
    <row r="5" spans="1:4" x14ac:dyDescent="0.45">
      <c r="A5" s="70" t="s">
        <v>68</v>
      </c>
      <c r="B5" s="136">
        <v>890</v>
      </c>
      <c r="C5" s="85"/>
      <c r="D5" s="86"/>
    </row>
    <row r="6" spans="1:4" x14ac:dyDescent="0.45">
      <c r="A6" s="61" t="s">
        <v>0</v>
      </c>
      <c r="B6" s="87" t="s">
        <v>193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x14ac:dyDescent="0.45">
      <c r="A9" s="61" t="s">
        <v>64</v>
      </c>
      <c r="B9" s="87">
        <v>7</v>
      </c>
      <c r="C9" s="88"/>
      <c r="D9" s="89"/>
    </row>
    <row r="10" spans="1:4" x14ac:dyDescent="0.45">
      <c r="A10" s="67"/>
      <c r="B10" s="138" t="s">
        <v>134</v>
      </c>
      <c r="C10" s="139"/>
      <c r="D10" s="140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1.0238907849829351E-2</v>
      </c>
      <c r="C19" s="3">
        <v>1.7064846416382253E-2</v>
      </c>
      <c r="D19" s="6">
        <v>3.4129692832764505E-3</v>
      </c>
    </row>
    <row r="20" spans="1:4" x14ac:dyDescent="0.45">
      <c r="A20" s="61" t="s">
        <v>79</v>
      </c>
      <c r="B20" s="23">
        <v>7.8498293515358364E-2</v>
      </c>
      <c r="C20" s="3">
        <v>0.12286689419795221</v>
      </c>
      <c r="D20" s="6">
        <v>3.4129692832764506E-2</v>
      </c>
    </row>
    <row r="21" spans="1:4" x14ac:dyDescent="0.45">
      <c r="A21" s="61" t="s">
        <v>80</v>
      </c>
      <c r="B21" s="23">
        <v>9.2150170648464161E-2</v>
      </c>
      <c r="C21" s="3">
        <v>0.11262798634812286</v>
      </c>
      <c r="D21" s="6">
        <v>7.1672354948805458E-2</v>
      </c>
    </row>
    <row r="22" spans="1:4" x14ac:dyDescent="0.45">
      <c r="A22" s="61" t="s">
        <v>81</v>
      </c>
      <c r="B22" s="23">
        <v>8.7030716723549492E-2</v>
      </c>
      <c r="C22" s="3">
        <v>0.12627986348122866</v>
      </c>
      <c r="D22" s="6">
        <v>4.778156996587031E-2</v>
      </c>
    </row>
    <row r="23" spans="1:4" x14ac:dyDescent="0.45">
      <c r="A23" s="61" t="s">
        <v>82</v>
      </c>
      <c r="B23" s="23">
        <v>0.11092150170648464</v>
      </c>
      <c r="C23" s="3">
        <v>0.11604095563139932</v>
      </c>
      <c r="D23" s="6">
        <v>0.10580204778156997</v>
      </c>
    </row>
    <row r="24" spans="1:4" x14ac:dyDescent="0.45">
      <c r="A24" s="61" t="s">
        <v>83</v>
      </c>
      <c r="B24" s="23">
        <v>9.2150170648464161E-2</v>
      </c>
      <c r="C24" s="3">
        <v>8.8737201365187715E-2</v>
      </c>
      <c r="D24" s="6">
        <v>9.556313993174062E-2</v>
      </c>
    </row>
    <row r="25" spans="1:4" x14ac:dyDescent="0.45">
      <c r="A25" s="61" t="s">
        <v>84</v>
      </c>
      <c r="B25" s="23">
        <v>8.5324232081911269E-2</v>
      </c>
      <c r="C25" s="3">
        <v>8.191126279863481E-2</v>
      </c>
      <c r="D25" s="6">
        <v>8.8737201365187715E-2</v>
      </c>
    </row>
    <row r="26" spans="1:4" x14ac:dyDescent="0.45">
      <c r="A26" s="61" t="s">
        <v>85</v>
      </c>
      <c r="B26" s="23">
        <v>8.0204778156996587E-2</v>
      </c>
      <c r="C26" s="3">
        <v>7.5085324232081918E-2</v>
      </c>
      <c r="D26" s="6">
        <v>8.5324232081911269E-2</v>
      </c>
    </row>
    <row r="27" spans="1:4" x14ac:dyDescent="0.45">
      <c r="A27" s="61" t="s">
        <v>86</v>
      </c>
      <c r="B27" s="23">
        <v>8.3617747440273033E-2</v>
      </c>
      <c r="C27" s="3">
        <v>5.8020477815699661E-2</v>
      </c>
      <c r="D27" s="6">
        <v>0.10921501706484642</v>
      </c>
    </row>
    <row r="28" spans="1:4" x14ac:dyDescent="0.45">
      <c r="A28" s="61" t="s">
        <v>87</v>
      </c>
      <c r="B28" s="23">
        <v>0.13310580204778158</v>
      </c>
      <c r="C28" s="3">
        <v>0.11604095563139932</v>
      </c>
      <c r="D28" s="6">
        <v>0.15017064846416384</v>
      </c>
    </row>
    <row r="29" spans="1:4" x14ac:dyDescent="0.45">
      <c r="A29" s="61" t="s">
        <v>88</v>
      </c>
      <c r="B29" s="23">
        <v>9.8976109215017066E-2</v>
      </c>
      <c r="C29" s="3">
        <v>4.778156996587031E-2</v>
      </c>
      <c r="D29" s="6">
        <v>0.15017064846416384</v>
      </c>
    </row>
    <row r="30" spans="1:4" x14ac:dyDescent="0.45">
      <c r="A30" s="61" t="s">
        <v>89</v>
      </c>
      <c r="B30" s="23">
        <v>3.4129692832764506E-2</v>
      </c>
      <c r="C30" s="3">
        <v>3.0716723549488054E-2</v>
      </c>
      <c r="D30" s="6">
        <v>3.7542662116040959E-2</v>
      </c>
    </row>
    <row r="31" spans="1:4" x14ac:dyDescent="0.45">
      <c r="A31" s="61" t="s">
        <v>90</v>
      </c>
      <c r="B31" s="23">
        <v>1.1945392491467578E-2</v>
      </c>
      <c r="C31" s="3">
        <v>6.8259385665529011E-3</v>
      </c>
      <c r="D31" s="6">
        <v>1.7064846416382253E-2</v>
      </c>
    </row>
    <row r="32" spans="1:4" x14ac:dyDescent="0.45">
      <c r="A32" s="61" t="s">
        <v>91</v>
      </c>
      <c r="B32" s="23">
        <v>1.7064846416382253E-3</v>
      </c>
      <c r="C32" s="3">
        <v>0</v>
      </c>
      <c r="D32" s="6">
        <v>3.4129692832764505E-3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1.0000000000000002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FF00"/>
  </sheetPr>
  <dimension ref="A1:D36"/>
  <sheetViews>
    <sheetView topLeftCell="A4" workbookViewId="0">
      <selection activeCell="G24" sqref="G24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899</v>
      </c>
      <c r="C5" s="102"/>
      <c r="D5" s="103"/>
    </row>
    <row r="6" spans="1:4" x14ac:dyDescent="0.45">
      <c r="A6" s="61" t="s">
        <v>0</v>
      </c>
      <c r="B6" s="87" t="s">
        <v>44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5</v>
      </c>
      <c r="C9" s="91"/>
      <c r="D9" s="92"/>
    </row>
    <row r="10" spans="1:4" x14ac:dyDescent="0.45">
      <c r="A10" s="66"/>
      <c r="B10" s="108" t="s">
        <v>134</v>
      </c>
      <c r="C10" s="102"/>
      <c r="D10" s="103"/>
    </row>
    <row r="11" spans="1:4" x14ac:dyDescent="0.45">
      <c r="A11" s="61" t="s">
        <v>65</v>
      </c>
      <c r="B11" s="10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5">
        <v>0</v>
      </c>
      <c r="C12" s="3">
        <v>0</v>
      </c>
      <c r="D12" s="6">
        <v>0</v>
      </c>
    </row>
    <row r="13" spans="1:4" x14ac:dyDescent="0.45">
      <c r="A13" s="61" t="s">
        <v>72</v>
      </c>
      <c r="B13" s="25">
        <v>4.2593972952827174E-4</v>
      </c>
      <c r="C13" s="3">
        <v>4.2598509052183171E-4</v>
      </c>
      <c r="D13" s="6">
        <v>4.2589437819420784E-4</v>
      </c>
    </row>
    <row r="14" spans="1:4" x14ac:dyDescent="0.45">
      <c r="A14" s="61" t="s">
        <v>73</v>
      </c>
      <c r="B14" s="25">
        <v>6.3890959429240761E-4</v>
      </c>
      <c r="C14" s="3">
        <v>6.3897763578274762E-4</v>
      </c>
      <c r="D14" s="6">
        <v>6.3884156729131171E-4</v>
      </c>
    </row>
    <row r="15" spans="1:4" x14ac:dyDescent="0.45">
      <c r="A15" s="61" t="s">
        <v>74</v>
      </c>
      <c r="B15" s="25">
        <v>0</v>
      </c>
      <c r="C15" s="3">
        <v>0</v>
      </c>
      <c r="D15" s="6">
        <v>0</v>
      </c>
    </row>
    <row r="16" spans="1:4" x14ac:dyDescent="0.45">
      <c r="A16" s="61" t="s">
        <v>75</v>
      </c>
      <c r="B16" s="25">
        <v>8.5187945905654348E-4</v>
      </c>
      <c r="C16" s="3">
        <v>8.5197018104366342E-4</v>
      </c>
      <c r="D16" s="6">
        <v>8.5178875638841568E-4</v>
      </c>
    </row>
    <row r="17" spans="1:4" x14ac:dyDescent="0.45">
      <c r="A17" s="61" t="s">
        <v>76</v>
      </c>
      <c r="B17" s="25">
        <v>1.0648493238206793E-4</v>
      </c>
      <c r="C17" s="3">
        <v>2.1299254526091586E-4</v>
      </c>
      <c r="D17" s="6">
        <v>0</v>
      </c>
    </row>
    <row r="18" spans="1:4" x14ac:dyDescent="0.45">
      <c r="A18" s="61" t="s">
        <v>77</v>
      </c>
      <c r="B18" s="25">
        <v>1.2778191885848152E-3</v>
      </c>
      <c r="C18" s="3">
        <v>1.490947816826411E-3</v>
      </c>
      <c r="D18" s="6">
        <v>1.0647359454855196E-3</v>
      </c>
    </row>
    <row r="19" spans="1:4" x14ac:dyDescent="0.45">
      <c r="A19" s="61" t="s">
        <v>78</v>
      </c>
      <c r="B19" s="25">
        <v>3.08806303907997E-3</v>
      </c>
      <c r="C19" s="3">
        <v>4.6858359957401494E-3</v>
      </c>
      <c r="D19" s="6">
        <v>1.4906303236797275E-3</v>
      </c>
    </row>
    <row r="20" spans="1:4" x14ac:dyDescent="0.45">
      <c r="A20" s="61" t="s">
        <v>79</v>
      </c>
      <c r="B20" s="25">
        <v>5.2177616867213287E-3</v>
      </c>
      <c r="C20" s="3">
        <v>8.3067092651757189E-3</v>
      </c>
      <c r="D20" s="6">
        <v>2.1294718909710391E-3</v>
      </c>
    </row>
    <row r="21" spans="1:4" x14ac:dyDescent="0.45">
      <c r="A21" s="61" t="s">
        <v>80</v>
      </c>
      <c r="B21" s="25">
        <v>1.5972739857310191E-2</v>
      </c>
      <c r="C21" s="3">
        <v>1.8743343982960597E-2</v>
      </c>
      <c r="D21" s="6">
        <v>1.3202725724020443E-2</v>
      </c>
    </row>
    <row r="22" spans="1:4" x14ac:dyDescent="0.45">
      <c r="A22" s="61" t="s">
        <v>81</v>
      </c>
      <c r="B22" s="25">
        <v>3.2158449579384518E-2</v>
      </c>
      <c r="C22" s="3">
        <v>3.4078807241746542E-2</v>
      </c>
      <c r="D22" s="6">
        <v>3.0238500851788756E-2</v>
      </c>
    </row>
    <row r="23" spans="1:4" x14ac:dyDescent="0.45">
      <c r="A23" s="61" t="s">
        <v>82</v>
      </c>
      <c r="B23" s="25">
        <v>4.2274518155680972E-2</v>
      </c>
      <c r="C23" s="3">
        <v>4.1107561235356763E-2</v>
      </c>
      <c r="D23" s="6">
        <v>4.3441226575809198E-2</v>
      </c>
    </row>
    <row r="24" spans="1:4" x14ac:dyDescent="0.45">
      <c r="A24" s="61" t="s">
        <v>83</v>
      </c>
      <c r="B24" s="25">
        <v>5.1325737408156748E-2</v>
      </c>
      <c r="C24" s="3">
        <v>5.2609158679446218E-2</v>
      </c>
      <c r="D24" s="6">
        <v>5.0042589437819418E-2</v>
      </c>
    </row>
    <row r="25" spans="1:4" x14ac:dyDescent="0.45">
      <c r="A25" s="61" t="s">
        <v>84</v>
      </c>
      <c r="B25" s="25">
        <v>5.4520285379618783E-2</v>
      </c>
      <c r="C25" s="3">
        <v>5.601703940362087E-2</v>
      </c>
      <c r="D25" s="6">
        <v>5.3023850085178875E-2</v>
      </c>
    </row>
    <row r="26" spans="1:4" x14ac:dyDescent="0.45">
      <c r="A26" s="61" t="s">
        <v>85</v>
      </c>
      <c r="B26" s="25">
        <v>7.5391332126504104E-2</v>
      </c>
      <c r="C26" s="3">
        <v>7.6038338658146964E-2</v>
      </c>
      <c r="D26" s="6">
        <v>7.4744463373083478E-2</v>
      </c>
    </row>
    <row r="27" spans="1:4" x14ac:dyDescent="0.45">
      <c r="A27" s="61" t="s">
        <v>86</v>
      </c>
      <c r="B27" s="25">
        <v>0.10318389947822383</v>
      </c>
      <c r="C27" s="3">
        <v>0.10244941427050053</v>
      </c>
      <c r="D27" s="6">
        <v>0.10391822827938671</v>
      </c>
    </row>
    <row r="28" spans="1:4" x14ac:dyDescent="0.45">
      <c r="A28" s="61" t="s">
        <v>87</v>
      </c>
      <c r="B28" s="25">
        <v>0.11830475987647748</v>
      </c>
      <c r="C28" s="3">
        <v>0.11863684771033013</v>
      </c>
      <c r="D28" s="6">
        <v>0.11797274275979557</v>
      </c>
    </row>
    <row r="29" spans="1:4" x14ac:dyDescent="0.45">
      <c r="A29" s="61" t="s">
        <v>88</v>
      </c>
      <c r="B29" s="25">
        <v>0.16515813012458738</v>
      </c>
      <c r="C29" s="3">
        <v>0.16336528221512248</v>
      </c>
      <c r="D29" s="6">
        <v>0.16695059625212946</v>
      </c>
    </row>
    <row r="30" spans="1:4" x14ac:dyDescent="0.45">
      <c r="A30" s="61" t="s">
        <v>89</v>
      </c>
      <c r="B30" s="25">
        <v>0.1228836119689064</v>
      </c>
      <c r="C30" s="3">
        <v>0.1220447284345048</v>
      </c>
      <c r="D30" s="6">
        <v>0.12372231686541738</v>
      </c>
    </row>
    <row r="31" spans="1:4" x14ac:dyDescent="0.45">
      <c r="A31" s="61" t="s">
        <v>90</v>
      </c>
      <c r="B31" s="25">
        <v>9.7859652859120433E-2</v>
      </c>
      <c r="C31" s="3">
        <v>9.4568690095846647E-2</v>
      </c>
      <c r="D31" s="6">
        <v>0.10114991482112436</v>
      </c>
    </row>
    <row r="32" spans="1:4" x14ac:dyDescent="0.45">
      <c r="A32" s="61" t="s">
        <v>91</v>
      </c>
      <c r="B32" s="25">
        <v>6.9960600575018642E-2</v>
      </c>
      <c r="C32" s="3">
        <v>6.8583599574014914E-2</v>
      </c>
      <c r="D32" s="6">
        <v>7.1337308347529813E-2</v>
      </c>
    </row>
    <row r="33" spans="1:4" x14ac:dyDescent="0.45">
      <c r="A33" s="61" t="s">
        <v>92</v>
      </c>
      <c r="B33" s="25">
        <v>3.7269726333723781E-2</v>
      </c>
      <c r="C33" s="3">
        <v>3.4078807241746542E-2</v>
      </c>
      <c r="D33" s="6">
        <v>4.0459965928449741E-2</v>
      </c>
    </row>
    <row r="34" spans="1:4" x14ac:dyDescent="0.45">
      <c r="A34" s="61" t="s">
        <v>93</v>
      </c>
      <c r="B34" s="25">
        <v>1.9167287828772228E-3</v>
      </c>
      <c r="C34" s="3">
        <v>8.5197018104366342E-4</v>
      </c>
      <c r="D34" s="6">
        <v>2.981260647359455E-3</v>
      </c>
    </row>
    <row r="35" spans="1:4" ht="14.65" thickBot="1" x14ac:dyDescent="0.5">
      <c r="A35" s="63" t="s">
        <v>94</v>
      </c>
      <c r="B35" s="26">
        <v>2.1296986476413587E-4</v>
      </c>
      <c r="C35" s="8">
        <v>2.1299254526091586E-4</v>
      </c>
      <c r="D35" s="9">
        <v>2.1294718909710392E-4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B3AF-8045-4D25-B935-9F4F2564FEE7}">
  <sheetPr>
    <tabColor rgb="FFFFFF00"/>
  </sheetPr>
  <dimension ref="A1:G36"/>
  <sheetViews>
    <sheetView topLeftCell="A4" workbookViewId="0">
      <selection activeCell="M21" sqref="M21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x14ac:dyDescent="0.45">
      <c r="A3" s="99" t="s">
        <v>157</v>
      </c>
      <c r="B3" s="88"/>
      <c r="C3" s="88"/>
      <c r="D3" s="88"/>
      <c r="E3" s="88"/>
      <c r="F3" s="88"/>
      <c r="G3" s="89"/>
    </row>
    <row r="4" spans="1:7" ht="14.65" thickBot="1" x14ac:dyDescent="0.5">
      <c r="A4" s="100"/>
      <c r="B4" s="91"/>
      <c r="C4" s="91"/>
      <c r="D4" s="91"/>
      <c r="E4" s="91"/>
      <c r="F4" s="91"/>
      <c r="G4" s="92"/>
    </row>
    <row r="5" spans="1:7" x14ac:dyDescent="0.45">
      <c r="A5" s="36" t="s">
        <v>68</v>
      </c>
      <c r="B5" s="108">
        <v>912</v>
      </c>
      <c r="C5" s="102"/>
      <c r="D5" s="103"/>
      <c r="E5" s="101">
        <v>912</v>
      </c>
      <c r="F5" s="102"/>
      <c r="G5" s="103"/>
    </row>
    <row r="6" spans="1:7" x14ac:dyDescent="0.45">
      <c r="A6" s="37" t="s">
        <v>0</v>
      </c>
      <c r="B6" s="99" t="s">
        <v>45</v>
      </c>
      <c r="C6" s="88"/>
      <c r="D6" s="89"/>
      <c r="E6" s="87" t="s">
        <v>45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57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18</v>
      </c>
      <c r="C9" s="91"/>
      <c r="D9" s="92"/>
      <c r="E9" s="90">
        <v>1</v>
      </c>
      <c r="F9" s="91"/>
      <c r="G9" s="92"/>
    </row>
    <row r="10" spans="1:7" x14ac:dyDescent="0.45">
      <c r="A10" s="62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61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61" t="s">
        <v>71</v>
      </c>
      <c r="B12" s="25">
        <v>1.1358671909130625E-3</v>
      </c>
      <c r="C12" s="3">
        <v>1.2187690432663011E-3</v>
      </c>
      <c r="D12" s="6">
        <v>1.0523546435148646E-3</v>
      </c>
      <c r="E12" s="23">
        <v>1.4942099364960778E-3</v>
      </c>
      <c r="F12" s="3">
        <v>7.4906367041198494E-4</v>
      </c>
      <c r="G12" s="6">
        <v>2.2354694485842027E-3</v>
      </c>
    </row>
    <row r="13" spans="1:7" x14ac:dyDescent="0.45">
      <c r="A13" s="61" t="s">
        <v>72</v>
      </c>
      <c r="B13" s="25">
        <v>2.1843599825251202E-4</v>
      </c>
      <c r="C13" s="3">
        <v>1.741098633237573E-4</v>
      </c>
      <c r="D13" s="6">
        <v>2.6308866087871614E-4</v>
      </c>
      <c r="E13" s="23">
        <v>1.8677624206200972E-3</v>
      </c>
      <c r="F13" s="3">
        <v>1.4981273408239699E-3</v>
      </c>
      <c r="G13" s="6">
        <v>2.2354694485842027E-3</v>
      </c>
    </row>
    <row r="14" spans="1:7" x14ac:dyDescent="0.45">
      <c r="A14" s="61" t="s">
        <v>73</v>
      </c>
      <c r="B14" s="25">
        <v>8.7374399301004812E-5</v>
      </c>
      <c r="C14" s="3">
        <v>8.705493166187865E-5</v>
      </c>
      <c r="D14" s="6">
        <v>8.7696220292905373E-5</v>
      </c>
      <c r="E14" s="23">
        <v>1.4942099364960778E-3</v>
      </c>
      <c r="F14" s="3">
        <v>0</v>
      </c>
      <c r="G14" s="6">
        <v>2.9806259314456036E-3</v>
      </c>
    </row>
    <row r="15" spans="1:7" x14ac:dyDescent="0.45">
      <c r="A15" s="61" t="s">
        <v>74</v>
      </c>
      <c r="B15" s="25">
        <v>1.310615989515072E-4</v>
      </c>
      <c r="C15" s="3">
        <v>1.741098633237573E-4</v>
      </c>
      <c r="D15" s="6">
        <v>8.7696220292905373E-5</v>
      </c>
      <c r="E15" s="23">
        <v>0</v>
      </c>
      <c r="F15" s="3">
        <v>0</v>
      </c>
      <c r="G15" s="6">
        <v>0</v>
      </c>
    </row>
    <row r="16" spans="1:7" x14ac:dyDescent="0.45">
      <c r="A16" s="61" t="s">
        <v>75</v>
      </c>
      <c r="B16" s="25">
        <v>2.6212319790301441E-4</v>
      </c>
      <c r="C16" s="3">
        <v>2.6116479498563595E-4</v>
      </c>
      <c r="D16" s="6">
        <v>2.6308866087871614E-4</v>
      </c>
      <c r="E16" s="23">
        <v>2.6148673888681364E-3</v>
      </c>
      <c r="F16" s="3">
        <v>2.9962546816479398E-3</v>
      </c>
      <c r="G16" s="6">
        <v>2.2354694485842027E-3</v>
      </c>
    </row>
    <row r="17" spans="1:7" x14ac:dyDescent="0.45">
      <c r="A17" s="61" t="s">
        <v>76</v>
      </c>
      <c r="B17" s="25">
        <v>1.0921799912625601E-3</v>
      </c>
      <c r="C17" s="3">
        <v>1.1317141116044223E-3</v>
      </c>
      <c r="D17" s="6">
        <v>1.0523546435148646E-3</v>
      </c>
      <c r="E17" s="23">
        <v>4.4826298094882335E-3</v>
      </c>
      <c r="F17" s="3">
        <v>4.4943820224719105E-3</v>
      </c>
      <c r="G17" s="6">
        <v>4.4709388971684054E-3</v>
      </c>
    </row>
    <row r="18" spans="1:7" x14ac:dyDescent="0.45">
      <c r="A18" s="61" t="s">
        <v>77</v>
      </c>
      <c r="B18" s="25">
        <v>5.3735255570117957E-3</v>
      </c>
      <c r="C18" s="3">
        <v>6.7902846696265345E-3</v>
      </c>
      <c r="D18" s="6">
        <v>3.9463299131807421E-3</v>
      </c>
      <c r="E18" s="23">
        <v>1.0833022039596563E-2</v>
      </c>
      <c r="F18" s="3">
        <v>1.4981273408239699E-2</v>
      </c>
      <c r="G18" s="6">
        <v>6.7064083457526085E-3</v>
      </c>
    </row>
    <row r="19" spans="1:7" x14ac:dyDescent="0.45">
      <c r="A19" s="61" t="s">
        <v>78</v>
      </c>
      <c r="B19" s="25">
        <v>2.2236784622105724E-2</v>
      </c>
      <c r="C19" s="3">
        <v>2.6464699225211108E-2</v>
      </c>
      <c r="D19" s="6">
        <v>1.7977725160045602E-2</v>
      </c>
      <c r="E19" s="23">
        <v>3.7728800896525964E-2</v>
      </c>
      <c r="F19" s="3">
        <v>4.1947565543071157E-2</v>
      </c>
      <c r="G19" s="6">
        <v>3.3532041728763042E-2</v>
      </c>
    </row>
    <row r="20" spans="1:7" x14ac:dyDescent="0.45">
      <c r="A20" s="61" t="s">
        <v>79</v>
      </c>
      <c r="B20" s="25">
        <v>6.2822193097422457E-2</v>
      </c>
      <c r="C20" s="3">
        <v>7.6782449725776969E-2</v>
      </c>
      <c r="D20" s="6">
        <v>4.8759098482855388E-2</v>
      </c>
      <c r="E20" s="23">
        <v>5.5659320134478905E-2</v>
      </c>
      <c r="F20" s="3">
        <v>6.6666666666666666E-2</v>
      </c>
      <c r="G20" s="6">
        <v>4.4709388971684055E-2</v>
      </c>
    </row>
    <row r="21" spans="1:7" x14ac:dyDescent="0.45">
      <c r="A21" s="61" t="s">
        <v>80</v>
      </c>
      <c r="B21" s="25">
        <v>8.1695063346439487E-2</v>
      </c>
      <c r="C21" s="3">
        <v>8.7577261251849919E-2</v>
      </c>
      <c r="D21" s="6">
        <v>7.5769534333070251E-2</v>
      </c>
      <c r="E21" s="23">
        <v>8.2181546507284292E-2</v>
      </c>
      <c r="F21" s="3">
        <v>8.3895131086142327E-2</v>
      </c>
      <c r="G21" s="6">
        <v>8.0476900149031305E-2</v>
      </c>
    </row>
    <row r="22" spans="1:7" x14ac:dyDescent="0.45">
      <c r="A22" s="61" t="s">
        <v>81</v>
      </c>
      <c r="B22" s="25">
        <v>8.6544342507645255E-2</v>
      </c>
      <c r="C22" s="3">
        <v>8.8012535910159312E-2</v>
      </c>
      <c r="D22" s="6">
        <v>8.5065333684118213E-2</v>
      </c>
      <c r="E22" s="23">
        <v>8.4049308927904381E-2</v>
      </c>
      <c r="F22" s="3">
        <v>8.3895131086142327E-2</v>
      </c>
      <c r="G22" s="6">
        <v>8.4202682563338294E-2</v>
      </c>
    </row>
    <row r="23" spans="1:7" x14ac:dyDescent="0.45">
      <c r="A23" s="61" t="s">
        <v>82</v>
      </c>
      <c r="B23" s="25">
        <v>9.8470948012232412E-2</v>
      </c>
      <c r="C23" s="3">
        <v>9.7588578392965961E-2</v>
      </c>
      <c r="D23" s="6">
        <v>9.9359817591861785E-2</v>
      </c>
      <c r="E23" s="23">
        <v>0.11057153530070975</v>
      </c>
      <c r="F23" s="3">
        <v>0.11310861423220975</v>
      </c>
      <c r="G23" s="6">
        <v>0.10804769001490314</v>
      </c>
    </row>
    <row r="24" spans="1:7" x14ac:dyDescent="0.45">
      <c r="A24" s="61" t="s">
        <v>83</v>
      </c>
      <c r="B24" s="25">
        <v>0.10690257754477937</v>
      </c>
      <c r="C24" s="3">
        <v>0.10812222512405328</v>
      </c>
      <c r="D24" s="6">
        <v>0.10567394545295097</v>
      </c>
      <c r="E24" s="23">
        <v>0.11766903249906613</v>
      </c>
      <c r="F24" s="3">
        <v>0.12059925093632956</v>
      </c>
      <c r="G24" s="6">
        <v>0.11475409836065575</v>
      </c>
    </row>
    <row r="25" spans="1:7" x14ac:dyDescent="0.45">
      <c r="A25" s="61" t="s">
        <v>84</v>
      </c>
      <c r="B25" s="25">
        <v>9.9563128003494983E-2</v>
      </c>
      <c r="C25" s="3">
        <v>0.10150605031775051</v>
      </c>
      <c r="D25" s="6">
        <v>9.7605893186003684E-2</v>
      </c>
      <c r="E25" s="23">
        <v>0.11916324243556221</v>
      </c>
      <c r="F25" s="3">
        <v>0.11835205992509365</v>
      </c>
      <c r="G25" s="6">
        <v>0.11997019374068556</v>
      </c>
    </row>
    <row r="26" spans="1:7" x14ac:dyDescent="0.45">
      <c r="A26" s="61" t="s">
        <v>85</v>
      </c>
      <c r="B26" s="25">
        <v>9.5849716033202276E-2</v>
      </c>
      <c r="C26" s="3">
        <v>9.7414468529642209E-2</v>
      </c>
      <c r="D26" s="6">
        <v>9.4273436814873282E-2</v>
      </c>
      <c r="E26" s="23">
        <v>9.7123645872245062E-2</v>
      </c>
      <c r="F26" s="3">
        <v>9.3632958801498134E-2</v>
      </c>
      <c r="G26" s="6">
        <v>0.10059612518628913</v>
      </c>
    </row>
    <row r="27" spans="1:7" x14ac:dyDescent="0.45">
      <c r="A27" s="61" t="s">
        <v>86</v>
      </c>
      <c r="B27" s="25">
        <v>9.8733071210135429E-2</v>
      </c>
      <c r="C27" s="3">
        <v>9.4541655784800213E-2</v>
      </c>
      <c r="D27" s="6">
        <v>0.10295536262387091</v>
      </c>
      <c r="E27" s="23">
        <v>9.9738513261113201E-2</v>
      </c>
      <c r="F27" s="3">
        <v>0.10262172284644194</v>
      </c>
      <c r="G27" s="6">
        <v>9.6870342771982129E-2</v>
      </c>
    </row>
    <row r="28" spans="1:7" x14ac:dyDescent="0.45">
      <c r="A28" s="61" t="s">
        <v>87</v>
      </c>
      <c r="B28" s="25">
        <v>0.10222804718217562</v>
      </c>
      <c r="C28" s="3">
        <v>9.6718029076347176E-2</v>
      </c>
      <c r="D28" s="6">
        <v>0.1077786547399807</v>
      </c>
      <c r="E28" s="23">
        <v>9.2267463578632802E-2</v>
      </c>
      <c r="F28" s="3">
        <v>8.4644194756554311E-2</v>
      </c>
      <c r="G28" s="6">
        <v>9.9850968703427717E-2</v>
      </c>
    </row>
    <row r="29" spans="1:7" x14ac:dyDescent="0.45">
      <c r="A29" s="61" t="s">
        <v>88</v>
      </c>
      <c r="B29" s="25">
        <v>8.6631716906946266E-2</v>
      </c>
      <c r="C29" s="3">
        <v>7.521546095586315E-2</v>
      </c>
      <c r="D29" s="6">
        <v>9.8132070507761113E-2</v>
      </c>
      <c r="E29" s="23">
        <v>4.1464325737766157E-2</v>
      </c>
      <c r="F29" s="3">
        <v>2.8464419475655433E-2</v>
      </c>
      <c r="G29" s="6">
        <v>5.4396423248882275E-2</v>
      </c>
    </row>
    <row r="30" spans="1:7" x14ac:dyDescent="0.45">
      <c r="A30" s="61" t="s">
        <v>89</v>
      </c>
      <c r="B30" s="25">
        <v>3.324595893403233E-2</v>
      </c>
      <c r="C30" s="3">
        <v>2.6116479498563595E-2</v>
      </c>
      <c r="D30" s="6">
        <v>4.0427957555029377E-2</v>
      </c>
      <c r="E30" s="23">
        <v>1.5689204333208816E-2</v>
      </c>
      <c r="F30" s="3">
        <v>1.2734082397003747E-2</v>
      </c>
      <c r="G30" s="6">
        <v>1.8628912071535025E-2</v>
      </c>
    </row>
    <row r="31" spans="1:7" x14ac:dyDescent="0.45">
      <c r="A31" s="61" t="s">
        <v>90</v>
      </c>
      <c r="B31" s="25">
        <v>9.5674967234600262E-3</v>
      </c>
      <c r="C31" s="3">
        <v>7.2255593279359279E-3</v>
      </c>
      <c r="D31" s="6">
        <v>1.1926685959835131E-2</v>
      </c>
      <c r="E31" s="23">
        <v>1.0459469555472544E-2</v>
      </c>
      <c r="F31" s="3">
        <v>1.0486891385767789E-2</v>
      </c>
      <c r="G31" s="6">
        <v>1.0432190760059612E-2</v>
      </c>
    </row>
    <row r="32" spans="1:7" x14ac:dyDescent="0.45">
      <c r="A32" s="61" t="s">
        <v>91</v>
      </c>
      <c r="B32" s="25">
        <v>2.839667977282656E-3</v>
      </c>
      <c r="C32" s="3">
        <v>2.6116479498563593E-3</v>
      </c>
      <c r="D32" s="6">
        <v>3.0693677102516881E-3</v>
      </c>
      <c r="E32" s="23">
        <v>2.9884198729921555E-3</v>
      </c>
      <c r="F32" s="3">
        <v>2.9962546816479398E-3</v>
      </c>
      <c r="G32" s="6">
        <v>2.9806259314456036E-3</v>
      </c>
    </row>
    <row r="33" spans="1:7" x14ac:dyDescent="0.45">
      <c r="A33" s="61" t="s">
        <v>92</v>
      </c>
      <c r="B33" s="25">
        <v>1.8785495849716032E-3</v>
      </c>
      <c r="C33" s="3">
        <v>1.8281535648994515E-3</v>
      </c>
      <c r="D33" s="6">
        <v>1.9293168464439184E-3</v>
      </c>
      <c r="E33" s="23">
        <v>4.4826298094882335E-3</v>
      </c>
      <c r="F33" s="3">
        <v>4.4943820224719105E-3</v>
      </c>
      <c r="G33" s="6">
        <v>4.4709388971684054E-3</v>
      </c>
    </row>
    <row r="34" spans="1:7" x14ac:dyDescent="0.45">
      <c r="A34" s="61" t="s">
        <v>93</v>
      </c>
      <c r="B34" s="25">
        <v>1.616426387068589E-3</v>
      </c>
      <c r="C34" s="3">
        <v>1.6540437015756942E-3</v>
      </c>
      <c r="D34" s="6">
        <v>1.5785319652722968E-3</v>
      </c>
      <c r="E34" s="23">
        <v>3.3619723571161751E-3</v>
      </c>
      <c r="F34" s="3">
        <v>2.9962546816479398E-3</v>
      </c>
      <c r="G34" s="6">
        <v>3.7257824143070045E-3</v>
      </c>
    </row>
    <row r="35" spans="1:7" ht="14.65" thickBot="1" x14ac:dyDescent="0.5">
      <c r="A35" s="63" t="s">
        <v>94</v>
      </c>
      <c r="B35" s="26">
        <v>8.7374399301004806E-4</v>
      </c>
      <c r="C35" s="8">
        <v>7.8349438495690785E-4</v>
      </c>
      <c r="D35" s="9">
        <v>9.6465842322195918E-4</v>
      </c>
      <c r="E35" s="24">
        <v>2.6148673888681364E-3</v>
      </c>
      <c r="F35" s="8">
        <v>3.7453183520599247E-3</v>
      </c>
      <c r="G35" s="9">
        <v>1.4903129657228018E-3</v>
      </c>
    </row>
    <row r="36" spans="1:7" x14ac:dyDescent="0.45">
      <c r="B36" s="11">
        <f t="shared" ref="B36:G36" si="0">SUM(B12:B35)</f>
        <v>1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1.0000000000000002</v>
      </c>
      <c r="G36" s="11">
        <f t="shared" si="0"/>
        <v>1.0000000000000002</v>
      </c>
    </row>
  </sheetData>
  <mergeCells count="15">
    <mergeCell ref="B6:D6"/>
    <mergeCell ref="E6:G6"/>
    <mergeCell ref="A1:G2"/>
    <mergeCell ref="A3:G3"/>
    <mergeCell ref="A4:G4"/>
    <mergeCell ref="B5:D5"/>
    <mergeCell ref="E5:G5"/>
    <mergeCell ref="B10:D10"/>
    <mergeCell ref="E10:G10"/>
    <mergeCell ref="B7:D7"/>
    <mergeCell ref="E7:G7"/>
    <mergeCell ref="B8:D8"/>
    <mergeCell ref="E8:G8"/>
    <mergeCell ref="B9:D9"/>
    <mergeCell ref="E9:G9"/>
  </mergeCells>
  <pageMargins left="0.7" right="0.7" top="0.75" bottom="0.75" header="0.3" footer="0.3"/>
  <pageSetup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6F23-DCCB-4403-AF1A-B03CF238B8CA}">
  <sheetPr>
    <tabColor rgb="FFFFFF00"/>
  </sheetPr>
  <dimension ref="A1:D36"/>
  <sheetViews>
    <sheetView topLeftCell="A5" workbookViewId="0">
      <selection activeCell="H16" sqref="H16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ht="15" customHeight="1" x14ac:dyDescent="0.45">
      <c r="A1" s="110" t="s">
        <v>70</v>
      </c>
      <c r="B1" s="111"/>
      <c r="C1" s="111"/>
      <c r="D1" s="112"/>
    </row>
    <row r="2" spans="1:4" ht="15" customHeight="1" x14ac:dyDescent="0.45">
      <c r="A2" s="113"/>
      <c r="B2" s="114"/>
      <c r="C2" s="114"/>
      <c r="D2" s="115"/>
    </row>
    <row r="3" spans="1:4" x14ac:dyDescent="0.45">
      <c r="A3" s="149" t="s">
        <v>157</v>
      </c>
      <c r="B3" s="150"/>
      <c r="C3" s="150"/>
      <c r="D3" s="151"/>
    </row>
    <row r="4" spans="1:4" ht="14.65" thickBot="1" x14ac:dyDescent="0.5">
      <c r="A4" s="141"/>
      <c r="B4" s="142"/>
      <c r="C4" s="142"/>
      <c r="D4" s="143"/>
    </row>
    <row r="5" spans="1:4" x14ac:dyDescent="0.45">
      <c r="A5" s="60" t="s">
        <v>68</v>
      </c>
      <c r="B5" s="101">
        <v>930</v>
      </c>
      <c r="C5" s="102"/>
      <c r="D5" s="103"/>
    </row>
    <row r="6" spans="1:4" x14ac:dyDescent="0.45">
      <c r="A6" s="61" t="s">
        <v>0</v>
      </c>
      <c r="B6" s="87" t="s">
        <v>46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120">
        <v>4</v>
      </c>
      <c r="C9" s="120"/>
      <c r="D9" s="121"/>
    </row>
    <row r="10" spans="1:4" x14ac:dyDescent="0.45">
      <c r="A10" s="67"/>
      <c r="B10" s="116" t="s">
        <v>134</v>
      </c>
      <c r="C10" s="117"/>
      <c r="D10" s="118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0</v>
      </c>
      <c r="C19" s="3">
        <v>0</v>
      </c>
      <c r="D19" s="6">
        <v>0</v>
      </c>
    </row>
    <row r="20" spans="1:4" x14ac:dyDescent="0.45">
      <c r="A20" s="61" t="s">
        <v>79</v>
      </c>
      <c r="B20" s="23">
        <v>1.4705882352941176E-2</v>
      </c>
      <c r="C20" s="3">
        <v>1.4705882352941176E-2</v>
      </c>
      <c r="D20" s="6">
        <v>1.4705882352941176E-2</v>
      </c>
    </row>
    <row r="21" spans="1:4" x14ac:dyDescent="0.45">
      <c r="A21" s="61" t="s">
        <v>80</v>
      </c>
      <c r="B21" s="23">
        <v>2.9411764705882353E-2</v>
      </c>
      <c r="C21" s="3">
        <v>2.9411764705882353E-2</v>
      </c>
      <c r="D21" s="6">
        <v>2.9411764705882353E-2</v>
      </c>
    </row>
    <row r="22" spans="1:4" x14ac:dyDescent="0.45">
      <c r="A22" s="61" t="s">
        <v>81</v>
      </c>
      <c r="B22" s="23">
        <v>7.3529411764705881E-3</v>
      </c>
      <c r="C22" s="3">
        <v>1.4705882352941176E-2</v>
      </c>
      <c r="D22" s="6">
        <v>0</v>
      </c>
    </row>
    <row r="23" spans="1:4" x14ac:dyDescent="0.45">
      <c r="A23" s="61" t="s">
        <v>82</v>
      </c>
      <c r="B23" s="23">
        <v>5.8823529411764705E-2</v>
      </c>
      <c r="C23" s="3">
        <v>7.3529411764705885E-2</v>
      </c>
      <c r="D23" s="6">
        <v>4.4117647058823532E-2</v>
      </c>
    </row>
    <row r="24" spans="1:4" x14ac:dyDescent="0.45">
      <c r="A24" s="61" t="s">
        <v>83</v>
      </c>
      <c r="B24" s="23">
        <v>0.14705882352941177</v>
      </c>
      <c r="C24" s="3">
        <v>0.19117647058823528</v>
      </c>
      <c r="D24" s="6">
        <v>0.10294117647058823</v>
      </c>
    </row>
    <row r="25" spans="1:4" x14ac:dyDescent="0.45">
      <c r="A25" s="61" t="s">
        <v>84</v>
      </c>
      <c r="B25" s="23">
        <v>0.14705882352941177</v>
      </c>
      <c r="C25" s="3">
        <v>0.13235294117647059</v>
      </c>
      <c r="D25" s="6">
        <v>0.16176470588235295</v>
      </c>
    </row>
    <row r="26" spans="1:4" x14ac:dyDescent="0.45">
      <c r="A26" s="61" t="s">
        <v>85</v>
      </c>
      <c r="B26" s="23">
        <v>6.6176470588235295E-2</v>
      </c>
      <c r="C26" s="3">
        <v>5.8823529411764705E-2</v>
      </c>
      <c r="D26" s="6">
        <v>7.3529411764705885E-2</v>
      </c>
    </row>
    <row r="27" spans="1:4" x14ac:dyDescent="0.45">
      <c r="A27" s="61" t="s">
        <v>86</v>
      </c>
      <c r="B27" s="23">
        <v>4.4117647058823532E-2</v>
      </c>
      <c r="C27" s="3">
        <v>1.4705882352941176E-2</v>
      </c>
      <c r="D27" s="6">
        <v>7.3529411764705885E-2</v>
      </c>
    </row>
    <row r="28" spans="1:4" x14ac:dyDescent="0.45">
      <c r="A28" s="61" t="s">
        <v>87</v>
      </c>
      <c r="B28" s="23">
        <v>2.9411764705882353E-2</v>
      </c>
      <c r="C28" s="3">
        <v>2.9411764705882353E-2</v>
      </c>
      <c r="D28" s="6">
        <v>2.9411764705882353E-2</v>
      </c>
    </row>
    <row r="29" spans="1:4" x14ac:dyDescent="0.45">
      <c r="A29" s="61" t="s">
        <v>88</v>
      </c>
      <c r="B29" s="23">
        <v>7.3529411764705885E-2</v>
      </c>
      <c r="C29" s="3">
        <v>7.3529411764705885E-2</v>
      </c>
      <c r="D29" s="6">
        <v>7.3529411764705885E-2</v>
      </c>
    </row>
    <row r="30" spans="1:4" x14ac:dyDescent="0.45">
      <c r="A30" s="61" t="s">
        <v>89</v>
      </c>
      <c r="B30" s="23">
        <v>9.5588235294117641E-2</v>
      </c>
      <c r="C30" s="3">
        <v>0.14705882352941177</v>
      </c>
      <c r="D30" s="6">
        <v>4.4117647058823532E-2</v>
      </c>
    </row>
    <row r="31" spans="1:4" x14ac:dyDescent="0.45">
      <c r="A31" s="61" t="s">
        <v>90</v>
      </c>
      <c r="B31" s="23">
        <v>0.125</v>
      </c>
      <c r="C31" s="3">
        <v>8.8235294117647065E-2</v>
      </c>
      <c r="D31" s="6">
        <v>0.16176470588235295</v>
      </c>
    </row>
    <row r="32" spans="1:4" x14ac:dyDescent="0.45">
      <c r="A32" s="61" t="s">
        <v>91</v>
      </c>
      <c r="B32" s="23">
        <v>0.13970588235294118</v>
      </c>
      <c r="C32" s="3">
        <v>0.13235294117647059</v>
      </c>
      <c r="D32" s="6">
        <v>0.14705882352941177</v>
      </c>
    </row>
    <row r="33" spans="1:4" x14ac:dyDescent="0.45">
      <c r="A33" s="61" t="s">
        <v>92</v>
      </c>
      <c r="B33" s="23">
        <v>1.4705882352941176E-2</v>
      </c>
      <c r="C33" s="3">
        <v>0</v>
      </c>
      <c r="D33" s="6">
        <v>2.9411764705882353E-2</v>
      </c>
    </row>
    <row r="34" spans="1:4" x14ac:dyDescent="0.45">
      <c r="A34" s="61" t="s">
        <v>93</v>
      </c>
      <c r="B34" s="23">
        <v>7.3529411764705881E-3</v>
      </c>
      <c r="C34" s="3">
        <v>0</v>
      </c>
      <c r="D34" s="6">
        <v>1.4705882352941176E-2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0.99999999999999978</v>
      </c>
      <c r="C36" s="11">
        <f>SUM(C12:C35)</f>
        <v>0.99999999999999989</v>
      </c>
      <c r="D36" s="11">
        <f>SUM(D12:D35)</f>
        <v>0.99999999999999989</v>
      </c>
    </row>
  </sheetData>
  <mergeCells count="9">
    <mergeCell ref="A1:D2"/>
    <mergeCell ref="A3:D3"/>
    <mergeCell ref="A4:D4"/>
    <mergeCell ref="B5:D5"/>
    <mergeCell ref="B10:D10"/>
    <mergeCell ref="B7:D7"/>
    <mergeCell ref="B8:D8"/>
    <mergeCell ref="B9:D9"/>
    <mergeCell ref="B6:D6"/>
  </mergeCells>
  <pageMargins left="0.7" right="0.7" top="0.75" bottom="0.75" header="0.3" footer="0.3"/>
  <pageSetup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1230-188A-4671-BA26-568C1D1B6FAD}">
  <sheetPr>
    <tabColor rgb="FFFFFF00"/>
  </sheetPr>
  <dimension ref="A1:J36"/>
  <sheetViews>
    <sheetView topLeftCell="A5" workbookViewId="0">
      <selection activeCell="S16" sqref="S16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08">
        <v>932</v>
      </c>
      <c r="C5" s="102"/>
      <c r="D5" s="103"/>
      <c r="E5" s="101">
        <v>932</v>
      </c>
      <c r="F5" s="102"/>
      <c r="G5" s="106"/>
      <c r="H5" s="108">
        <v>932</v>
      </c>
      <c r="I5" s="102"/>
      <c r="J5" s="103"/>
    </row>
    <row r="6" spans="1:10" x14ac:dyDescent="0.45">
      <c r="A6" s="37" t="s">
        <v>0</v>
      </c>
      <c r="B6" s="99" t="s">
        <v>47</v>
      </c>
      <c r="C6" s="88"/>
      <c r="D6" s="89"/>
      <c r="E6" s="87" t="s">
        <v>47</v>
      </c>
      <c r="F6" s="88"/>
      <c r="G6" s="104"/>
      <c r="H6" s="99" t="s">
        <v>47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38</v>
      </c>
      <c r="C9" s="91"/>
      <c r="D9" s="92"/>
      <c r="E9" s="90">
        <v>2</v>
      </c>
      <c r="F9" s="91"/>
      <c r="G9" s="105"/>
      <c r="H9" s="100">
        <v>1</v>
      </c>
      <c r="I9" s="91"/>
      <c r="J9" s="92"/>
    </row>
    <row r="10" spans="1:10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5.2622809697037013E-3</v>
      </c>
      <c r="C12" s="3">
        <v>3.0147974000829759E-3</v>
      </c>
      <c r="D12" s="6">
        <v>7.5278110798226786E-3</v>
      </c>
      <c r="E12" s="23">
        <v>1.2658227848101266E-2</v>
      </c>
      <c r="F12" s="3">
        <v>2.7894002789400278E-3</v>
      </c>
      <c r="G12" s="20">
        <v>2.2695035460992909E-2</v>
      </c>
      <c r="H12" s="25">
        <v>1.4423076923076924E-2</v>
      </c>
      <c r="I12" s="3">
        <v>7.2815533980582527E-3</v>
      </c>
      <c r="J12" s="6">
        <v>2.1428571428571429E-2</v>
      </c>
    </row>
    <row r="13" spans="1:10" x14ac:dyDescent="0.45">
      <c r="A13" s="37" t="s">
        <v>72</v>
      </c>
      <c r="B13" s="25">
        <v>1.9438504901280165E-3</v>
      </c>
      <c r="C13" s="3">
        <v>1.2999585119623841E-3</v>
      </c>
      <c r="D13" s="6">
        <v>2.5929127052722557E-3</v>
      </c>
      <c r="E13" s="23">
        <v>7.0323488045007034E-4</v>
      </c>
      <c r="F13" s="3">
        <v>0</v>
      </c>
      <c r="G13" s="20">
        <v>1.4184397163120568E-3</v>
      </c>
      <c r="H13" s="25">
        <v>2.403846153846154E-3</v>
      </c>
      <c r="I13" s="3">
        <v>2.4271844660194173E-3</v>
      </c>
      <c r="J13" s="6">
        <v>2.3809523809523812E-3</v>
      </c>
    </row>
    <row r="14" spans="1:10" x14ac:dyDescent="0.45">
      <c r="A14" s="37" t="s">
        <v>73</v>
      </c>
      <c r="B14" s="25">
        <v>2.4436977590180779E-3</v>
      </c>
      <c r="C14" s="3">
        <v>3.070114783570737E-3</v>
      </c>
      <c r="D14" s="6">
        <v>1.8122508155128669E-3</v>
      </c>
      <c r="E14" s="23">
        <v>0</v>
      </c>
      <c r="F14" s="3">
        <v>0</v>
      </c>
      <c r="G14" s="20">
        <v>0</v>
      </c>
      <c r="H14" s="25">
        <v>0</v>
      </c>
      <c r="I14" s="3">
        <v>0</v>
      </c>
      <c r="J14" s="6">
        <v>0</v>
      </c>
    </row>
    <row r="15" spans="1:10" x14ac:dyDescent="0.45">
      <c r="A15" s="37" t="s">
        <v>74</v>
      </c>
      <c r="B15" s="25">
        <v>2.6797367471050513E-3</v>
      </c>
      <c r="C15" s="3">
        <v>1.7978149633522335E-3</v>
      </c>
      <c r="D15" s="6">
        <v>3.5687400674714919E-3</v>
      </c>
      <c r="E15" s="23">
        <v>0</v>
      </c>
      <c r="F15" s="3">
        <v>0</v>
      </c>
      <c r="G15" s="20">
        <v>0</v>
      </c>
      <c r="H15" s="25">
        <v>0</v>
      </c>
      <c r="I15" s="3">
        <v>0</v>
      </c>
      <c r="J15" s="6">
        <v>0</v>
      </c>
    </row>
    <row r="16" spans="1:10" x14ac:dyDescent="0.45">
      <c r="A16" s="37" t="s">
        <v>75</v>
      </c>
      <c r="B16" s="25">
        <v>2.4714670517341922E-3</v>
      </c>
      <c r="C16" s="3">
        <v>2.1297192642787998E-3</v>
      </c>
      <c r="D16" s="6">
        <v>2.8159589594892241E-3</v>
      </c>
      <c r="E16" s="23">
        <v>2.1097046413502108E-3</v>
      </c>
      <c r="F16" s="3">
        <v>2.7894002789400278E-3</v>
      </c>
      <c r="G16" s="20">
        <v>1.4184397163120568E-3</v>
      </c>
      <c r="H16" s="25">
        <v>0</v>
      </c>
      <c r="I16" s="3">
        <v>0</v>
      </c>
      <c r="J16" s="6">
        <v>0</v>
      </c>
    </row>
    <row r="17" spans="1:10" x14ac:dyDescent="0.45">
      <c r="A17" s="37" t="s">
        <v>76</v>
      </c>
      <c r="B17" s="25">
        <v>4.7207797617394688E-3</v>
      </c>
      <c r="C17" s="3">
        <v>7.191259853408934E-3</v>
      </c>
      <c r="D17" s="6">
        <v>2.2304625421696823E-3</v>
      </c>
      <c r="E17" s="23">
        <v>1.4064697609001407E-3</v>
      </c>
      <c r="F17" s="3">
        <v>1.3947001394700139E-3</v>
      </c>
      <c r="G17" s="20">
        <v>1.4184397163120568E-3</v>
      </c>
      <c r="H17" s="25">
        <v>2.403846153846154E-3</v>
      </c>
      <c r="I17" s="3">
        <v>4.8543689320388345E-3</v>
      </c>
      <c r="J17" s="6">
        <v>0</v>
      </c>
    </row>
    <row r="18" spans="1:10" x14ac:dyDescent="0.45">
      <c r="A18" s="37" t="s">
        <v>77</v>
      </c>
      <c r="B18" s="25">
        <v>1.2968259698425482E-2</v>
      </c>
      <c r="C18" s="3">
        <v>1.7037754114230398E-2</v>
      </c>
      <c r="D18" s="6">
        <v>8.8660886051244881E-3</v>
      </c>
      <c r="E18" s="23">
        <v>2.1097046413502108E-3</v>
      </c>
      <c r="F18" s="3">
        <v>2.7894002789400278E-3</v>
      </c>
      <c r="G18" s="20">
        <v>1.4184397163120568E-3</v>
      </c>
      <c r="H18" s="25">
        <v>4.807692307692308E-3</v>
      </c>
      <c r="I18" s="3">
        <v>7.2815533980582527E-3</v>
      </c>
      <c r="J18" s="6">
        <v>2.3809523809523812E-3</v>
      </c>
    </row>
    <row r="19" spans="1:10" x14ac:dyDescent="0.45">
      <c r="A19" s="37" t="s">
        <v>78</v>
      </c>
      <c r="B19" s="25">
        <v>2.2382049929188304E-2</v>
      </c>
      <c r="C19" s="3">
        <v>2.6911907066795741E-2</v>
      </c>
      <c r="D19" s="6">
        <v>1.7815819555580339E-2</v>
      </c>
      <c r="E19" s="23">
        <v>1.2658227848101266E-2</v>
      </c>
      <c r="F19" s="3">
        <v>1.9525801952580194E-2</v>
      </c>
      <c r="G19" s="20">
        <v>5.6737588652482273E-3</v>
      </c>
      <c r="H19" s="25">
        <v>2.283653846153846E-2</v>
      </c>
      <c r="I19" s="3">
        <v>3.1553398058252427E-2</v>
      </c>
      <c r="J19" s="6">
        <v>1.4285714285714285E-2</v>
      </c>
    </row>
    <row r="20" spans="1:10" x14ac:dyDescent="0.45">
      <c r="A20" s="37" t="s">
        <v>79</v>
      </c>
      <c r="B20" s="25">
        <v>3.1962455916247814E-2</v>
      </c>
      <c r="C20" s="3">
        <v>3.371594523579035E-2</v>
      </c>
      <c r="D20" s="6">
        <v>3.0194886664622077E-2</v>
      </c>
      <c r="E20" s="23">
        <v>3.5864978902953586E-2</v>
      </c>
      <c r="F20" s="3">
        <v>5.1603905160390519E-2</v>
      </c>
      <c r="G20" s="20">
        <v>1.9858156028368795E-2</v>
      </c>
      <c r="H20" s="25">
        <v>5.0480769230769232E-2</v>
      </c>
      <c r="I20" s="3">
        <v>8.4951456310679616E-2</v>
      </c>
      <c r="J20" s="6">
        <v>1.6666666666666666E-2</v>
      </c>
    </row>
    <row r="21" spans="1:10" x14ac:dyDescent="0.45">
      <c r="A21" s="37" t="s">
        <v>80</v>
      </c>
      <c r="B21" s="25">
        <v>3.6336119519035849E-2</v>
      </c>
      <c r="C21" s="3">
        <v>3.9468953118517495E-2</v>
      </c>
      <c r="D21" s="6">
        <v>3.3178130314774026E-2</v>
      </c>
      <c r="E21" s="23">
        <v>4.852320675105485E-2</v>
      </c>
      <c r="F21" s="3">
        <v>5.8577405857740586E-2</v>
      </c>
      <c r="G21" s="20">
        <v>3.8297872340425532E-2</v>
      </c>
      <c r="H21" s="25">
        <v>0.12980769230769232</v>
      </c>
      <c r="I21" s="3">
        <v>0.17233009708737865</v>
      </c>
      <c r="J21" s="6">
        <v>8.8095238095238101E-2</v>
      </c>
    </row>
    <row r="22" spans="1:10" x14ac:dyDescent="0.45">
      <c r="A22" s="37" t="s">
        <v>81</v>
      </c>
      <c r="B22" s="25">
        <v>4.9304379217461329E-2</v>
      </c>
      <c r="C22" s="3">
        <v>5.5676946480431477E-2</v>
      </c>
      <c r="D22" s="6">
        <v>4.2880642373212145E-2</v>
      </c>
      <c r="E22" s="23">
        <v>6.6807313642756674E-2</v>
      </c>
      <c r="F22" s="3">
        <v>7.5313807531380755E-2</v>
      </c>
      <c r="G22" s="20">
        <v>5.8156028368794327E-2</v>
      </c>
      <c r="H22" s="25">
        <v>0.19711538461538461</v>
      </c>
      <c r="I22" s="3">
        <v>0.19660194174757281</v>
      </c>
      <c r="J22" s="6">
        <v>0.19761904761904761</v>
      </c>
    </row>
    <row r="23" spans="1:10" x14ac:dyDescent="0.45">
      <c r="A23" s="37" t="s">
        <v>82</v>
      </c>
      <c r="B23" s="25">
        <v>9.4818249979173028E-2</v>
      </c>
      <c r="C23" s="3">
        <v>0.12114506983819666</v>
      </c>
      <c r="D23" s="6">
        <v>6.8280034572169399E-2</v>
      </c>
      <c r="E23" s="23">
        <v>7.805907172995781E-2</v>
      </c>
      <c r="F23" s="3">
        <v>7.1129707112970716E-2</v>
      </c>
      <c r="G23" s="20">
        <v>8.5106382978723402E-2</v>
      </c>
      <c r="H23" s="25">
        <v>0.15144230769230768</v>
      </c>
      <c r="I23" s="3">
        <v>0.16019417475728157</v>
      </c>
      <c r="J23" s="6">
        <v>0.14285714285714285</v>
      </c>
    </row>
    <row r="24" spans="1:10" x14ac:dyDescent="0.45">
      <c r="A24" s="37" t="s">
        <v>83</v>
      </c>
      <c r="B24" s="25">
        <v>0.1229624281469551</v>
      </c>
      <c r="C24" s="3">
        <v>0.12344074125293873</v>
      </c>
      <c r="D24" s="6">
        <v>0.12248027434689268</v>
      </c>
      <c r="E24" s="23">
        <v>6.9620253164556958E-2</v>
      </c>
      <c r="F24" s="3">
        <v>8.0892608089260812E-2</v>
      </c>
      <c r="G24" s="20">
        <v>5.8156028368794327E-2</v>
      </c>
      <c r="H24" s="25">
        <v>0.13581730769230768</v>
      </c>
      <c r="I24" s="3">
        <v>0.11893203883495146</v>
      </c>
      <c r="J24" s="6">
        <v>0.15238095238095239</v>
      </c>
    </row>
    <row r="25" spans="1:10" x14ac:dyDescent="0.45">
      <c r="A25" s="37" t="s">
        <v>84</v>
      </c>
      <c r="B25" s="25">
        <v>8.8459081947182799E-2</v>
      </c>
      <c r="C25" s="3">
        <v>6.5551099432996821E-2</v>
      </c>
      <c r="D25" s="6">
        <v>0.11155100789026125</v>
      </c>
      <c r="E25" s="23">
        <v>5.9774964838255978E-2</v>
      </c>
      <c r="F25" s="3">
        <v>4.6025104602510462E-2</v>
      </c>
      <c r="G25" s="20">
        <v>7.3758865248226946E-2</v>
      </c>
      <c r="H25" s="25">
        <v>7.6923076923076927E-2</v>
      </c>
      <c r="I25" s="3">
        <v>4.6116504854368932E-2</v>
      </c>
      <c r="J25" s="6">
        <v>0.10714285714285714</v>
      </c>
    </row>
    <row r="26" spans="1:10" x14ac:dyDescent="0.45">
      <c r="A26" s="37" t="s">
        <v>85</v>
      </c>
      <c r="B26" s="25">
        <v>4.7374413373691374E-2</v>
      </c>
      <c r="C26" s="3">
        <v>4.1377402848845252E-2</v>
      </c>
      <c r="D26" s="6">
        <v>5.3419577884963897E-2</v>
      </c>
      <c r="E26" s="23">
        <v>5.4149085794655417E-2</v>
      </c>
      <c r="F26" s="3">
        <v>3.9051603905160388E-2</v>
      </c>
      <c r="G26" s="20">
        <v>6.9503546099290783E-2</v>
      </c>
      <c r="H26" s="25">
        <v>5.6490384615384616E-2</v>
      </c>
      <c r="I26" s="3">
        <v>4.6116504854368932E-2</v>
      </c>
      <c r="J26" s="6">
        <v>6.6666666666666666E-2</v>
      </c>
    </row>
    <row r="27" spans="1:10" x14ac:dyDescent="0.45">
      <c r="A27" s="37" t="s">
        <v>86</v>
      </c>
      <c r="B27" s="25">
        <v>3.8141123545583293E-2</v>
      </c>
      <c r="C27" s="3">
        <v>3.5569077582630344E-2</v>
      </c>
      <c r="D27" s="6">
        <v>4.0733822176373828E-2</v>
      </c>
      <c r="E27" s="23">
        <v>4.852320675105485E-2</v>
      </c>
      <c r="F27" s="3">
        <v>5.2998605299860529E-2</v>
      </c>
      <c r="G27" s="20">
        <v>4.397163120567376E-2</v>
      </c>
      <c r="H27" s="25">
        <v>2.8846153846153848E-2</v>
      </c>
      <c r="I27" s="3">
        <v>1.4563106796116505E-2</v>
      </c>
      <c r="J27" s="6">
        <v>4.2857142857142858E-2</v>
      </c>
    </row>
    <row r="28" spans="1:10" x14ac:dyDescent="0.45">
      <c r="A28" s="37" t="s">
        <v>87</v>
      </c>
      <c r="B28" s="25">
        <v>5.1650884451973009E-2</v>
      </c>
      <c r="C28" s="3">
        <v>6.2951182409072048E-2</v>
      </c>
      <c r="D28" s="6">
        <v>4.0259848886162769E-2</v>
      </c>
      <c r="E28" s="23">
        <v>4.4303797468354431E-2</v>
      </c>
      <c r="F28" s="3">
        <v>5.4393305439330547E-2</v>
      </c>
      <c r="G28" s="20">
        <v>3.4042553191489362E-2</v>
      </c>
      <c r="H28" s="25">
        <v>2.403846153846154E-2</v>
      </c>
      <c r="I28" s="3">
        <v>1.6990291262135922E-2</v>
      </c>
      <c r="J28" s="6">
        <v>3.0952380952380953E-2</v>
      </c>
    </row>
    <row r="29" spans="1:10" x14ac:dyDescent="0.45">
      <c r="A29" s="37" t="s">
        <v>88</v>
      </c>
      <c r="B29" s="25">
        <v>8.5696037321929416E-2</v>
      </c>
      <c r="C29" s="3">
        <v>0.10081593140644447</v>
      </c>
      <c r="D29" s="6">
        <v>7.0454735550784839E-2</v>
      </c>
      <c r="E29" s="23">
        <v>7.805907172995781E-2</v>
      </c>
      <c r="F29" s="3">
        <v>0.100418410041841</v>
      </c>
      <c r="G29" s="20">
        <v>5.5319148936170209E-2</v>
      </c>
      <c r="H29" s="25">
        <v>1.6826923076923076E-2</v>
      </c>
      <c r="I29" s="3">
        <v>1.4563106796116505E-2</v>
      </c>
      <c r="J29" s="6">
        <v>1.9047619047619049E-2</v>
      </c>
    </row>
    <row r="30" spans="1:10" x14ac:dyDescent="0.45">
      <c r="A30" s="37" t="s">
        <v>89</v>
      </c>
      <c r="B30" s="25">
        <v>9.4179556246702392E-2</v>
      </c>
      <c r="C30" s="3">
        <v>0.10056700318074956</v>
      </c>
      <c r="D30" s="6">
        <v>8.7740820252599883E-2</v>
      </c>
      <c r="E30" s="23">
        <v>9.774964838255977E-2</v>
      </c>
      <c r="F30" s="3">
        <v>0.12273361227336123</v>
      </c>
      <c r="G30" s="20">
        <v>7.2340425531914887E-2</v>
      </c>
      <c r="H30" s="25">
        <v>1.8028846153846152E-2</v>
      </c>
      <c r="I30" s="3">
        <v>2.1844660194174758E-2</v>
      </c>
      <c r="J30" s="6">
        <v>1.4285714285714285E-2</v>
      </c>
    </row>
    <row r="31" spans="1:10" x14ac:dyDescent="0.45">
      <c r="A31" s="37" t="s">
        <v>90</v>
      </c>
      <c r="B31" s="25">
        <v>8.1836105634389492E-2</v>
      </c>
      <c r="C31" s="3">
        <v>7.1165813857004559E-2</v>
      </c>
      <c r="D31" s="6">
        <v>9.2592076281818939E-2</v>
      </c>
      <c r="E31" s="23">
        <v>9.2827004219409287E-2</v>
      </c>
      <c r="F31" s="3">
        <v>7.8103207810320777E-2</v>
      </c>
      <c r="G31" s="20">
        <v>0.10780141843971631</v>
      </c>
      <c r="H31" s="25">
        <v>3.245192307692308E-2</v>
      </c>
      <c r="I31" s="3">
        <v>3.1553398058252427E-2</v>
      </c>
      <c r="J31" s="6">
        <v>3.3333333333333333E-2</v>
      </c>
    </row>
    <row r="32" spans="1:10" x14ac:dyDescent="0.45">
      <c r="A32" s="37" t="s">
        <v>91</v>
      </c>
      <c r="B32" s="25">
        <v>5.6232817750131905E-2</v>
      </c>
      <c r="C32" s="3">
        <v>4.1847600608491221E-2</v>
      </c>
      <c r="D32" s="6">
        <v>7.0733543368556057E-2</v>
      </c>
      <c r="E32" s="23">
        <v>7.7355836849507739E-2</v>
      </c>
      <c r="F32" s="3">
        <v>4.8814504881450491E-2</v>
      </c>
      <c r="G32" s="20">
        <v>0.10638297872340426</v>
      </c>
      <c r="H32" s="25">
        <v>1.4423076923076924E-2</v>
      </c>
      <c r="I32" s="3">
        <v>9.7087378640776691E-3</v>
      </c>
      <c r="J32" s="6">
        <v>1.9047619047619049E-2</v>
      </c>
    </row>
    <row r="33" spans="1:10" x14ac:dyDescent="0.45">
      <c r="A33" s="37" t="s">
        <v>92</v>
      </c>
      <c r="B33" s="25">
        <v>3.5989003360084419E-2</v>
      </c>
      <c r="C33" s="3">
        <v>2.5445996404370074E-2</v>
      </c>
      <c r="D33" s="6">
        <v>4.6616667131346365E-2</v>
      </c>
      <c r="E33" s="23">
        <v>5.9774964838255978E-2</v>
      </c>
      <c r="F33" s="3">
        <v>5.4393305439330547E-2</v>
      </c>
      <c r="G33" s="20">
        <v>6.5248226950354607E-2</v>
      </c>
      <c r="H33" s="25">
        <v>8.4134615384615381E-3</v>
      </c>
      <c r="I33" s="3">
        <v>7.2815533980582527E-3</v>
      </c>
      <c r="J33" s="6">
        <v>9.5238095238095247E-3</v>
      </c>
    </row>
    <row r="34" spans="1:10" x14ac:dyDescent="0.45">
      <c r="A34" s="37" t="s">
        <v>93</v>
      </c>
      <c r="B34" s="25">
        <v>2.1146316403321208E-2</v>
      </c>
      <c r="C34" s="3">
        <v>1.3884663255428017E-2</v>
      </c>
      <c r="D34" s="6">
        <v>2.8466278194440572E-2</v>
      </c>
      <c r="E34" s="23">
        <v>3.5161744022503515E-2</v>
      </c>
      <c r="F34" s="3">
        <v>2.0920502092050208E-2</v>
      </c>
      <c r="G34" s="20">
        <v>4.9645390070921988E-2</v>
      </c>
      <c r="H34" s="25">
        <v>7.2115384615384619E-3</v>
      </c>
      <c r="I34" s="3">
        <v>4.8543689320388345E-3</v>
      </c>
      <c r="J34" s="6">
        <v>9.5238095238095247E-3</v>
      </c>
    </row>
    <row r="35" spans="1:10" ht="14.65" thickBot="1" x14ac:dyDescent="0.5">
      <c r="A35" s="38" t="s">
        <v>94</v>
      </c>
      <c r="B35" s="26">
        <v>9.0389047790952765E-3</v>
      </c>
      <c r="C35" s="8">
        <v>4.9232471304107312E-3</v>
      </c>
      <c r="D35" s="9">
        <v>1.3187609780578247E-2</v>
      </c>
      <c r="E35" s="24">
        <v>2.180028129395218E-2</v>
      </c>
      <c r="F35" s="8">
        <v>1.5341701534170154E-2</v>
      </c>
      <c r="G35" s="21">
        <v>2.8368794326241134E-2</v>
      </c>
      <c r="H35" s="26">
        <v>4.807692307692308E-3</v>
      </c>
      <c r="I35" s="8">
        <v>0</v>
      </c>
      <c r="J35" s="9">
        <v>9.5238095238095247E-3</v>
      </c>
    </row>
    <row r="36" spans="1:10" x14ac:dyDescent="0.45">
      <c r="B36" s="11">
        <f t="shared" ref="B36:J36" si="0">SUM(B12:B35)</f>
        <v>0.99999999999999989</v>
      </c>
      <c r="C36" s="11">
        <f t="shared" si="0"/>
        <v>1.0000000000000002</v>
      </c>
      <c r="D36" s="11">
        <f t="shared" si="0"/>
        <v>1</v>
      </c>
      <c r="E36" s="11">
        <f t="shared" si="0"/>
        <v>1</v>
      </c>
      <c r="F36" s="11">
        <f t="shared" si="0"/>
        <v>0.99999999999999989</v>
      </c>
      <c r="G36" s="11">
        <f t="shared" si="0"/>
        <v>1</v>
      </c>
      <c r="H36" s="11">
        <f t="shared" si="0"/>
        <v>1.0000000000000002</v>
      </c>
      <c r="I36" s="11">
        <f t="shared" si="0"/>
        <v>1</v>
      </c>
      <c r="J36" s="11">
        <f t="shared" si="0"/>
        <v>0.99999999999999978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</sheetPr>
  <dimension ref="A1:D36"/>
  <sheetViews>
    <sheetView topLeftCell="A4" workbookViewId="0">
      <selection activeCell="H17" sqref="H17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ht="15" customHeight="1" x14ac:dyDescent="0.45">
      <c r="A1" s="93" t="s">
        <v>70</v>
      </c>
      <c r="B1" s="94"/>
      <c r="C1" s="94"/>
      <c r="D1" s="95"/>
    </row>
    <row r="2" spans="1:4" ht="15" customHeight="1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933</v>
      </c>
      <c r="C5" s="102"/>
      <c r="D5" s="103"/>
    </row>
    <row r="6" spans="1:4" x14ac:dyDescent="0.45">
      <c r="A6" s="61" t="s">
        <v>0</v>
      </c>
      <c r="B6" s="87" t="s">
        <v>48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5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8.4459459459459464E-3</v>
      </c>
      <c r="C12" s="3">
        <v>6.7249495628782787E-3</v>
      </c>
      <c r="D12" s="6">
        <v>1.0183299389002037E-2</v>
      </c>
    </row>
    <row r="13" spans="1:4" x14ac:dyDescent="0.45">
      <c r="A13" s="61" t="s">
        <v>72</v>
      </c>
      <c r="B13" s="23">
        <v>7.7702702702702707E-3</v>
      </c>
      <c r="C13" s="3">
        <v>3.3624747814391394E-3</v>
      </c>
      <c r="D13" s="6">
        <v>1.2219959266802444E-2</v>
      </c>
    </row>
    <row r="14" spans="1:4" x14ac:dyDescent="0.45">
      <c r="A14" s="61" t="s">
        <v>73</v>
      </c>
      <c r="B14" s="23">
        <v>3.3783783783783786E-4</v>
      </c>
      <c r="C14" s="3">
        <v>0</v>
      </c>
      <c r="D14" s="6">
        <v>6.7888662593346908E-4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2.0270270270270271E-3</v>
      </c>
      <c r="C17" s="3">
        <v>2.0174848688634837E-3</v>
      </c>
      <c r="D17" s="6">
        <v>2.0366598778004071E-3</v>
      </c>
    </row>
    <row r="18" spans="1:4" x14ac:dyDescent="0.45">
      <c r="A18" s="61" t="s">
        <v>77</v>
      </c>
      <c r="B18" s="23">
        <v>1.1486486486486487E-2</v>
      </c>
      <c r="C18" s="3">
        <v>1.4794889038332213E-2</v>
      </c>
      <c r="D18" s="6">
        <v>8.1466395112016286E-3</v>
      </c>
    </row>
    <row r="19" spans="1:4" x14ac:dyDescent="0.45">
      <c r="A19" s="61" t="s">
        <v>78</v>
      </c>
      <c r="B19" s="23">
        <v>1.9932432432432434E-2</v>
      </c>
      <c r="C19" s="3">
        <v>2.0847343644922665E-2</v>
      </c>
      <c r="D19" s="6">
        <v>1.9008825526137134E-2</v>
      </c>
    </row>
    <row r="20" spans="1:4" x14ac:dyDescent="0.45">
      <c r="A20" s="61" t="s">
        <v>79</v>
      </c>
      <c r="B20" s="23">
        <v>1.8581081081081082E-2</v>
      </c>
      <c r="C20" s="3">
        <v>1.6812373907195696E-2</v>
      </c>
      <c r="D20" s="6">
        <v>2.0366598778004074E-2</v>
      </c>
    </row>
    <row r="21" spans="1:4" x14ac:dyDescent="0.45">
      <c r="A21" s="61" t="s">
        <v>80</v>
      </c>
      <c r="B21" s="23">
        <v>2.2972972972972974E-2</v>
      </c>
      <c r="C21" s="3">
        <v>2.4209818426361801E-2</v>
      </c>
      <c r="D21" s="6">
        <v>2.1724372029871011E-2</v>
      </c>
    </row>
    <row r="22" spans="1:4" x14ac:dyDescent="0.45">
      <c r="A22" s="61" t="s">
        <v>81</v>
      </c>
      <c r="B22" s="23">
        <v>3.6148648648648647E-2</v>
      </c>
      <c r="C22" s="3">
        <v>3.9677202420981841E-2</v>
      </c>
      <c r="D22" s="6">
        <v>3.2586558044806514E-2</v>
      </c>
    </row>
    <row r="23" spans="1:4" x14ac:dyDescent="0.45">
      <c r="A23" s="61" t="s">
        <v>82</v>
      </c>
      <c r="B23" s="23">
        <v>8.5810810810810809E-2</v>
      </c>
      <c r="C23" s="3">
        <v>9.4821788836583723E-2</v>
      </c>
      <c r="D23" s="6">
        <v>7.6714188730482011E-2</v>
      </c>
    </row>
    <row r="24" spans="1:4" x14ac:dyDescent="0.45">
      <c r="A24" s="61" t="s">
        <v>83</v>
      </c>
      <c r="B24" s="23">
        <v>0.12195945945945946</v>
      </c>
      <c r="C24" s="3">
        <v>0.12911903160726296</v>
      </c>
      <c r="D24" s="6">
        <v>0.11473183978275628</v>
      </c>
    </row>
    <row r="25" spans="1:4" x14ac:dyDescent="0.45">
      <c r="A25" s="61" t="s">
        <v>84</v>
      </c>
      <c r="B25" s="23">
        <v>8.4121621621621623E-2</v>
      </c>
      <c r="C25" s="3">
        <v>8.8096839273705443E-2</v>
      </c>
      <c r="D25" s="6">
        <v>8.0108621860149359E-2</v>
      </c>
    </row>
    <row r="26" spans="1:4" x14ac:dyDescent="0.45">
      <c r="A26" s="61" t="s">
        <v>85</v>
      </c>
      <c r="B26" s="23">
        <v>8.1081081081081086E-2</v>
      </c>
      <c r="C26" s="3">
        <v>8.0026899798251519E-2</v>
      </c>
      <c r="D26" s="6">
        <v>8.2145281737949757E-2</v>
      </c>
    </row>
    <row r="27" spans="1:4" x14ac:dyDescent="0.45">
      <c r="A27" s="61" t="s">
        <v>86</v>
      </c>
      <c r="B27" s="23">
        <v>9.2229729729729731E-2</v>
      </c>
      <c r="C27" s="3">
        <v>9.2804303967720242E-2</v>
      </c>
      <c r="D27" s="6">
        <v>9.1649694501018328E-2</v>
      </c>
    </row>
    <row r="28" spans="1:4" x14ac:dyDescent="0.45">
      <c r="A28" s="61" t="s">
        <v>87</v>
      </c>
      <c r="B28" s="23">
        <v>7.5337837837837832E-2</v>
      </c>
      <c r="C28" s="3">
        <v>7.6664425016812379E-2</v>
      </c>
      <c r="D28" s="6">
        <v>7.3998642226748138E-2</v>
      </c>
    </row>
    <row r="29" spans="1:4" x14ac:dyDescent="0.45">
      <c r="A29" s="61" t="s">
        <v>88</v>
      </c>
      <c r="B29" s="23">
        <v>7.3310810810810811E-2</v>
      </c>
      <c r="C29" s="3">
        <v>6.657700067249496E-2</v>
      </c>
      <c r="D29" s="6">
        <v>8.0108621860149359E-2</v>
      </c>
    </row>
    <row r="30" spans="1:4" x14ac:dyDescent="0.45">
      <c r="A30" s="61" t="s">
        <v>89</v>
      </c>
      <c r="B30" s="23">
        <v>7.3648648648648646E-2</v>
      </c>
      <c r="C30" s="3">
        <v>6.99394754539341E-2</v>
      </c>
      <c r="D30" s="6">
        <v>7.7393075356415472E-2</v>
      </c>
    </row>
    <row r="31" spans="1:4" x14ac:dyDescent="0.45">
      <c r="A31" s="61" t="s">
        <v>90</v>
      </c>
      <c r="B31" s="23">
        <v>4.6621621621621624E-2</v>
      </c>
      <c r="C31" s="3">
        <v>4.3039677202420981E-2</v>
      </c>
      <c r="D31" s="6">
        <v>5.0237610319076711E-2</v>
      </c>
    </row>
    <row r="32" spans="1:4" x14ac:dyDescent="0.45">
      <c r="A32" s="61" t="s">
        <v>91</v>
      </c>
      <c r="B32" s="23">
        <v>5.2702702702702706E-2</v>
      </c>
      <c r="C32" s="3">
        <v>5.379959650302623E-2</v>
      </c>
      <c r="D32" s="6">
        <v>5.1595383570943655E-2</v>
      </c>
    </row>
    <row r="33" spans="1:4" x14ac:dyDescent="0.45">
      <c r="A33" s="61" t="s">
        <v>92</v>
      </c>
      <c r="B33" s="23">
        <v>4.5608108108108107E-2</v>
      </c>
      <c r="C33" s="3">
        <v>4.438466711499664E-2</v>
      </c>
      <c r="D33" s="6">
        <v>4.684317718940937E-2</v>
      </c>
    </row>
    <row r="34" spans="1:4" x14ac:dyDescent="0.45">
      <c r="A34" s="61" t="s">
        <v>93</v>
      </c>
      <c r="B34" s="23">
        <v>2.7702702702702704E-2</v>
      </c>
      <c r="C34" s="3">
        <v>2.0174848688634835E-2</v>
      </c>
      <c r="D34" s="6">
        <v>3.5302104548540394E-2</v>
      </c>
    </row>
    <row r="35" spans="1:4" ht="14.65" thickBot="1" x14ac:dyDescent="0.5">
      <c r="A35" s="63" t="s">
        <v>94</v>
      </c>
      <c r="B35" s="24">
        <v>1.2162162162162163E-2</v>
      </c>
      <c r="C35" s="8">
        <v>1.2104909213180901E-2</v>
      </c>
      <c r="D35" s="9">
        <v>1.2219959266802444E-2</v>
      </c>
    </row>
    <row r="36" spans="1:4" x14ac:dyDescent="0.45">
      <c r="B36" s="11">
        <f>SUM(B12:B35)</f>
        <v>1</v>
      </c>
      <c r="C36" s="11">
        <f>SUM(C12:C35)</f>
        <v>0.99999999999999989</v>
      </c>
      <c r="D36" s="11">
        <f>SUM(D12:D35)</f>
        <v>0.99999999999999989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2FD8-B3B4-4F16-99C7-FB604E3A883D}">
  <sheetPr>
    <tabColor rgb="FFFFFF00"/>
  </sheetPr>
  <dimension ref="A1:P36"/>
  <sheetViews>
    <sheetView topLeftCell="C5" workbookViewId="0">
      <selection activeCell="F37" sqref="F37"/>
    </sheetView>
  </sheetViews>
  <sheetFormatPr defaultRowHeight="14.25" x14ac:dyDescent="0.45"/>
  <cols>
    <col min="1" max="1" width="17.796875" customWidth="1"/>
    <col min="2" max="16" width="17.796875" style="1" customWidth="1"/>
  </cols>
  <sheetData>
    <row r="1" spans="1:16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</row>
    <row r="2" spans="1:16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</row>
    <row r="3" spans="1:16" x14ac:dyDescent="0.45">
      <c r="A3" s="99" t="s">
        <v>154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16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</row>
    <row r="5" spans="1:16" x14ac:dyDescent="0.45">
      <c r="A5" s="36" t="s">
        <v>68</v>
      </c>
      <c r="B5" s="108">
        <v>934</v>
      </c>
      <c r="C5" s="102"/>
      <c r="D5" s="103"/>
      <c r="E5" s="101">
        <v>934</v>
      </c>
      <c r="F5" s="102"/>
      <c r="G5" s="106"/>
      <c r="H5" s="108">
        <v>934</v>
      </c>
      <c r="I5" s="102"/>
      <c r="J5" s="103"/>
      <c r="K5" s="101">
        <v>934</v>
      </c>
      <c r="L5" s="102"/>
      <c r="M5" s="106"/>
      <c r="N5" s="108">
        <v>934</v>
      </c>
      <c r="O5" s="102"/>
      <c r="P5" s="103"/>
    </row>
    <row r="6" spans="1:16" x14ac:dyDescent="0.45">
      <c r="A6" s="37" t="s">
        <v>0</v>
      </c>
      <c r="B6" s="99" t="s">
        <v>49</v>
      </c>
      <c r="C6" s="88"/>
      <c r="D6" s="89"/>
      <c r="E6" s="87" t="s">
        <v>49</v>
      </c>
      <c r="F6" s="88"/>
      <c r="G6" s="104"/>
      <c r="H6" s="99" t="s">
        <v>49</v>
      </c>
      <c r="I6" s="88"/>
      <c r="J6" s="89"/>
      <c r="K6" s="87" t="s">
        <v>49</v>
      </c>
      <c r="L6" s="88"/>
      <c r="M6" s="104"/>
      <c r="N6" s="99" t="s">
        <v>49</v>
      </c>
      <c r="O6" s="88"/>
      <c r="P6" s="89"/>
    </row>
    <row r="7" spans="1:16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55</v>
      </c>
      <c r="I7" s="88"/>
      <c r="J7" s="89"/>
      <c r="K7" s="87" t="s">
        <v>56</v>
      </c>
      <c r="L7" s="88"/>
      <c r="M7" s="104"/>
      <c r="N7" s="99" t="s">
        <v>56</v>
      </c>
      <c r="O7" s="88"/>
      <c r="P7" s="89"/>
    </row>
    <row r="8" spans="1:16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  <c r="K8" s="87" t="s">
        <v>60</v>
      </c>
      <c r="L8" s="88"/>
      <c r="M8" s="104"/>
      <c r="N8" s="99" t="s">
        <v>61</v>
      </c>
      <c r="O8" s="88"/>
      <c r="P8" s="89"/>
    </row>
    <row r="9" spans="1:16" ht="14.65" thickBot="1" x14ac:dyDescent="0.5">
      <c r="A9" s="38" t="s">
        <v>64</v>
      </c>
      <c r="B9" s="100">
        <v>54</v>
      </c>
      <c r="C9" s="91"/>
      <c r="D9" s="92"/>
      <c r="E9" s="90">
        <v>6</v>
      </c>
      <c r="F9" s="91"/>
      <c r="G9" s="105"/>
      <c r="H9" s="100">
        <v>4</v>
      </c>
      <c r="I9" s="91"/>
      <c r="J9" s="92"/>
      <c r="K9" s="90">
        <v>1</v>
      </c>
      <c r="L9" s="91"/>
      <c r="M9" s="105"/>
      <c r="N9" s="100">
        <v>1</v>
      </c>
      <c r="O9" s="91"/>
      <c r="P9" s="92"/>
    </row>
    <row r="10" spans="1:16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  <c r="K10" s="101" t="s">
        <v>134</v>
      </c>
      <c r="L10" s="102"/>
      <c r="M10" s="106"/>
      <c r="N10" s="108" t="s">
        <v>134</v>
      </c>
      <c r="O10" s="102"/>
      <c r="P10" s="103"/>
    </row>
    <row r="11" spans="1:16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  <c r="K11" s="22" t="s">
        <v>95</v>
      </c>
      <c r="L11" s="2" t="s">
        <v>66</v>
      </c>
      <c r="M11" s="14" t="s">
        <v>67</v>
      </c>
      <c r="N11" s="10" t="s">
        <v>95</v>
      </c>
      <c r="O11" s="2" t="s">
        <v>66</v>
      </c>
      <c r="P11" s="5" t="s">
        <v>67</v>
      </c>
    </row>
    <row r="12" spans="1:16" x14ac:dyDescent="0.45">
      <c r="A12" s="37" t="s">
        <v>71</v>
      </c>
      <c r="B12" s="25">
        <v>7.6326821165862537E-3</v>
      </c>
      <c r="C12" s="3">
        <v>7.4159482193862846E-3</v>
      </c>
      <c r="D12" s="6">
        <v>7.8520837201899348E-3</v>
      </c>
      <c r="E12" s="23">
        <v>4.1012303691107333E-3</v>
      </c>
      <c r="F12" s="3">
        <v>4.205888243540957E-3</v>
      </c>
      <c r="G12" s="20">
        <v>3.9968025579536371E-3</v>
      </c>
      <c r="H12" s="25">
        <v>3.9179104477611937E-3</v>
      </c>
      <c r="I12" s="3">
        <v>4.1014168530947052E-3</v>
      </c>
      <c r="J12" s="6">
        <v>3.7341299477221808E-3</v>
      </c>
      <c r="K12" s="23">
        <v>2.6923076923076922E-3</v>
      </c>
      <c r="L12" s="3">
        <v>1.1472275334608031E-3</v>
      </c>
      <c r="M12" s="20">
        <v>4.2553191489361703E-3</v>
      </c>
      <c r="N12" s="25">
        <v>6.3994610980127988E-3</v>
      </c>
      <c r="O12" s="3">
        <v>2.0161290322580645E-3</v>
      </c>
      <c r="P12" s="6">
        <v>1.0803511141120865E-2</v>
      </c>
    </row>
    <row r="13" spans="1:16" x14ac:dyDescent="0.45">
      <c r="A13" s="37" t="s">
        <v>72</v>
      </c>
      <c r="B13" s="25">
        <v>4.0668090379393073E-3</v>
      </c>
      <c r="C13" s="3">
        <v>3.6686669636539922E-3</v>
      </c>
      <c r="D13" s="6">
        <v>4.4698517123378514E-3</v>
      </c>
      <c r="E13" s="23">
        <v>7.0021006301890568E-4</v>
      </c>
      <c r="F13" s="3">
        <v>4.005607850991388E-4</v>
      </c>
      <c r="G13" s="20">
        <v>9.9920063948840928E-4</v>
      </c>
      <c r="H13" s="25">
        <v>5.5970149253731347E-4</v>
      </c>
      <c r="I13" s="3">
        <v>3.7285607755406411E-4</v>
      </c>
      <c r="J13" s="6">
        <v>7.468259895444362E-4</v>
      </c>
      <c r="K13" s="23">
        <v>3.0769230769230769E-3</v>
      </c>
      <c r="L13" s="3">
        <v>1.5296367112810707E-3</v>
      </c>
      <c r="M13" s="20">
        <v>4.6421663442940036E-3</v>
      </c>
      <c r="N13" s="25">
        <v>1.3472549680026945E-3</v>
      </c>
      <c r="O13" s="3">
        <v>1.3440860215053765E-3</v>
      </c>
      <c r="P13" s="6">
        <v>1.3504388926401081E-3</v>
      </c>
    </row>
    <row r="14" spans="1:16" x14ac:dyDescent="0.45">
      <c r="A14" s="37" t="s">
        <v>73</v>
      </c>
      <c r="B14" s="25">
        <v>3.0781196445991196E-3</v>
      </c>
      <c r="C14" s="3">
        <v>3.0004454809884435E-3</v>
      </c>
      <c r="D14" s="6">
        <v>3.156749873995278E-3</v>
      </c>
      <c r="E14" s="23">
        <v>1.100330099029709E-3</v>
      </c>
      <c r="F14" s="3">
        <v>6.0084117764870821E-4</v>
      </c>
      <c r="G14" s="20">
        <v>1.5987210231814548E-3</v>
      </c>
      <c r="H14" s="25">
        <v>7.4626865671641792E-4</v>
      </c>
      <c r="I14" s="3">
        <v>3.7285607755406411E-4</v>
      </c>
      <c r="J14" s="6">
        <v>1.1202389843166542E-3</v>
      </c>
      <c r="K14" s="23">
        <v>0</v>
      </c>
      <c r="L14" s="3">
        <v>0</v>
      </c>
      <c r="M14" s="20">
        <v>0</v>
      </c>
      <c r="N14" s="25">
        <v>4.0417649040080834E-3</v>
      </c>
      <c r="O14" s="3">
        <v>2.0161290322580645E-3</v>
      </c>
      <c r="P14" s="6">
        <v>6.0769750168804858E-3</v>
      </c>
    </row>
    <row r="15" spans="1:16" x14ac:dyDescent="0.45">
      <c r="A15" s="37" t="s">
        <v>74</v>
      </c>
      <c r="B15" s="25">
        <v>2.5310448469508819E-3</v>
      </c>
      <c r="C15" s="3">
        <v>2.4239406724142448E-3</v>
      </c>
      <c r="D15" s="6">
        <v>2.6394673316179006E-3</v>
      </c>
      <c r="E15" s="23">
        <v>7.0021006301890568E-4</v>
      </c>
      <c r="F15" s="3">
        <v>6.0084117764870821E-4</v>
      </c>
      <c r="G15" s="20">
        <v>7.993605115907274E-4</v>
      </c>
      <c r="H15" s="25">
        <v>3.7313432835820896E-4</v>
      </c>
      <c r="I15" s="3">
        <v>3.7285607755406411E-4</v>
      </c>
      <c r="J15" s="6">
        <v>3.734129947722181E-4</v>
      </c>
      <c r="K15" s="23">
        <v>0</v>
      </c>
      <c r="L15" s="3">
        <v>0</v>
      </c>
      <c r="M15" s="20">
        <v>0</v>
      </c>
      <c r="N15" s="25">
        <v>6.7362748400134724E-4</v>
      </c>
      <c r="O15" s="3">
        <v>0</v>
      </c>
      <c r="P15" s="6">
        <v>1.3504388926401081E-3</v>
      </c>
    </row>
    <row r="16" spans="1:16" x14ac:dyDescent="0.45">
      <c r="A16" s="37" t="s">
        <v>75</v>
      </c>
      <c r="B16" s="25">
        <v>3.1901711091776742E-3</v>
      </c>
      <c r="C16" s="3">
        <v>3.4721312334582426E-3</v>
      </c>
      <c r="D16" s="6">
        <v>2.904740430272966E-3</v>
      </c>
      <c r="E16" s="23">
        <v>1.2003601080324098E-3</v>
      </c>
      <c r="F16" s="3">
        <v>1.4019627478469858E-3</v>
      </c>
      <c r="G16" s="20">
        <v>9.9920063948840928E-4</v>
      </c>
      <c r="H16" s="25">
        <v>3.7313432835820896E-4</v>
      </c>
      <c r="I16" s="3">
        <v>3.7285607755406411E-4</v>
      </c>
      <c r="J16" s="6">
        <v>3.734129947722181E-4</v>
      </c>
      <c r="K16" s="23">
        <v>0</v>
      </c>
      <c r="L16" s="3">
        <v>0</v>
      </c>
      <c r="M16" s="20">
        <v>0</v>
      </c>
      <c r="N16" s="25">
        <v>0</v>
      </c>
      <c r="O16" s="3">
        <v>0</v>
      </c>
      <c r="P16" s="6">
        <v>0</v>
      </c>
    </row>
    <row r="17" spans="1:16" x14ac:dyDescent="0.45">
      <c r="A17" s="37" t="s">
        <v>76</v>
      </c>
      <c r="B17" s="25">
        <v>7.6920034801866649E-3</v>
      </c>
      <c r="C17" s="3">
        <v>8.306910196273682E-3</v>
      </c>
      <c r="D17" s="6">
        <v>7.0695280791574925E-3</v>
      </c>
      <c r="E17" s="23">
        <v>1.4004201260378114E-3</v>
      </c>
      <c r="F17" s="3">
        <v>1.6022431403965552E-3</v>
      </c>
      <c r="G17" s="20">
        <v>1.199040767386091E-3</v>
      </c>
      <c r="H17" s="25">
        <v>7.4626865671641792E-4</v>
      </c>
      <c r="I17" s="3">
        <v>7.4571215510812821E-4</v>
      </c>
      <c r="J17" s="6">
        <v>7.468259895444362E-4</v>
      </c>
      <c r="K17" s="23">
        <v>0</v>
      </c>
      <c r="L17" s="3">
        <v>0</v>
      </c>
      <c r="M17" s="20">
        <v>0</v>
      </c>
      <c r="N17" s="25">
        <v>4.7153923880094307E-3</v>
      </c>
      <c r="O17" s="3">
        <v>5.3763440860215058E-3</v>
      </c>
      <c r="P17" s="6">
        <v>4.0513166779203242E-3</v>
      </c>
    </row>
    <row r="18" spans="1:16" x14ac:dyDescent="0.45">
      <c r="A18" s="37" t="s">
        <v>77</v>
      </c>
      <c r="B18" s="25">
        <v>2.1078857866012813E-2</v>
      </c>
      <c r="C18" s="3">
        <v>2.3138806635046253E-2</v>
      </c>
      <c r="D18" s="6">
        <v>1.8993553863702682E-2</v>
      </c>
      <c r="E18" s="23">
        <v>4.4013203961188359E-3</v>
      </c>
      <c r="F18" s="3">
        <v>4.6064490286400958E-3</v>
      </c>
      <c r="G18" s="20">
        <v>4.1966426858513189E-3</v>
      </c>
      <c r="H18" s="25">
        <v>4.6641791044776115E-3</v>
      </c>
      <c r="I18" s="3">
        <v>5.5928411633109623E-3</v>
      </c>
      <c r="J18" s="6">
        <v>3.7341299477221808E-3</v>
      </c>
      <c r="K18" s="23">
        <v>7.6923076923076923E-4</v>
      </c>
      <c r="L18" s="3">
        <v>1.5296367112810707E-3</v>
      </c>
      <c r="M18" s="20">
        <v>0</v>
      </c>
      <c r="N18" s="25">
        <v>1.0104412260020209E-3</v>
      </c>
      <c r="O18" s="3">
        <v>1.3440860215053765E-3</v>
      </c>
      <c r="P18" s="6">
        <v>6.7521944632005406E-4</v>
      </c>
    </row>
    <row r="19" spans="1:16" x14ac:dyDescent="0.45">
      <c r="A19" s="37" t="s">
        <v>78</v>
      </c>
      <c r="B19" s="25">
        <v>3.3252919929341665E-2</v>
      </c>
      <c r="C19" s="3">
        <v>3.468200518854328E-2</v>
      </c>
      <c r="D19" s="6">
        <v>3.1806244528742339E-2</v>
      </c>
      <c r="E19" s="23">
        <v>1.0103030909272781E-2</v>
      </c>
      <c r="F19" s="3">
        <v>1.2217103945523734E-2</v>
      </c>
      <c r="G19" s="20">
        <v>7.9936051159072742E-3</v>
      </c>
      <c r="H19" s="25">
        <v>8.2089552238805968E-3</v>
      </c>
      <c r="I19" s="3">
        <v>9.3214019388516041E-3</v>
      </c>
      <c r="J19" s="6">
        <v>7.0948469006721438E-3</v>
      </c>
      <c r="K19" s="23">
        <v>1.5384615384615385E-3</v>
      </c>
      <c r="L19" s="3">
        <v>2.2944550669216062E-3</v>
      </c>
      <c r="M19" s="20">
        <v>7.7369439071566729E-4</v>
      </c>
      <c r="N19" s="25">
        <v>2.3576961940047153E-3</v>
      </c>
      <c r="O19" s="3">
        <v>3.3602150537634409E-3</v>
      </c>
      <c r="P19" s="6">
        <v>1.3504388926401081E-3</v>
      </c>
    </row>
    <row r="20" spans="1:16" x14ac:dyDescent="0.45">
      <c r="A20" s="37" t="s">
        <v>79</v>
      </c>
      <c r="B20" s="25">
        <v>3.5948746341849247E-2</v>
      </c>
      <c r="C20" s="3">
        <v>3.6162574356017926E-2</v>
      </c>
      <c r="D20" s="6">
        <v>3.5732286388837305E-2</v>
      </c>
      <c r="E20" s="23">
        <v>1.480444133239972E-2</v>
      </c>
      <c r="F20" s="3">
        <v>1.5421590226316844E-2</v>
      </c>
      <c r="G20" s="20">
        <v>1.4188649080735413E-2</v>
      </c>
      <c r="H20" s="25">
        <v>8.2089552238805968E-3</v>
      </c>
      <c r="I20" s="3">
        <v>9.3214019388516041E-3</v>
      </c>
      <c r="J20" s="6">
        <v>7.0948469006721438E-3</v>
      </c>
      <c r="K20" s="23">
        <v>2.5000000000000001E-3</v>
      </c>
      <c r="L20" s="3">
        <v>3.4416826003824093E-3</v>
      </c>
      <c r="M20" s="20">
        <v>1.5473887814313346E-3</v>
      </c>
      <c r="N20" s="25">
        <v>3.7049511620074098E-3</v>
      </c>
      <c r="O20" s="3">
        <v>4.0322580645161289E-3</v>
      </c>
      <c r="P20" s="6">
        <v>3.37609723160027E-3</v>
      </c>
    </row>
    <row r="21" spans="1:16" x14ac:dyDescent="0.45">
      <c r="A21" s="37" t="s">
        <v>80</v>
      </c>
      <c r="B21" s="25">
        <v>3.457776371641752E-2</v>
      </c>
      <c r="C21" s="3">
        <v>3.5310919525169675E-2</v>
      </c>
      <c r="D21" s="6">
        <v>3.3835583733453592E-2</v>
      </c>
      <c r="E21" s="23">
        <v>2.100630189056717E-2</v>
      </c>
      <c r="F21" s="3">
        <v>2.2431403965551773E-2</v>
      </c>
      <c r="G21" s="20">
        <v>1.958433253397282E-2</v>
      </c>
      <c r="H21" s="25">
        <v>2.1268656716417911E-2</v>
      </c>
      <c r="I21" s="3">
        <v>2.535421327367636E-2</v>
      </c>
      <c r="J21" s="6">
        <v>1.7176997759522031E-2</v>
      </c>
      <c r="K21" s="23">
        <v>3.0769230769230769E-3</v>
      </c>
      <c r="L21" s="3">
        <v>3.8240917782026767E-3</v>
      </c>
      <c r="M21" s="20">
        <v>2.3210831721470018E-3</v>
      </c>
      <c r="N21" s="25">
        <v>2.0208824520040417E-3</v>
      </c>
      <c r="O21" s="3">
        <v>3.3602150537634409E-3</v>
      </c>
      <c r="P21" s="6">
        <v>6.7521944632005406E-4</v>
      </c>
    </row>
    <row r="22" spans="1:16" x14ac:dyDescent="0.45">
      <c r="A22" s="37" t="s">
        <v>81</v>
      </c>
      <c r="B22" s="25">
        <v>3.8881858208758467E-2</v>
      </c>
      <c r="C22" s="3">
        <v>4.0185005634024266E-2</v>
      </c>
      <c r="D22" s="6">
        <v>3.7562670769557258E-2</v>
      </c>
      <c r="E22" s="23">
        <v>2.9508852655796738E-2</v>
      </c>
      <c r="F22" s="3">
        <v>3.2245143200480671E-2</v>
      </c>
      <c r="G22" s="20">
        <v>2.6778577138289367E-2</v>
      </c>
      <c r="H22" s="25">
        <v>2.4440298507462686E-2</v>
      </c>
      <c r="I22" s="3">
        <v>2.2371364653243849E-2</v>
      </c>
      <c r="J22" s="6">
        <v>2.6512322628827484E-2</v>
      </c>
      <c r="K22" s="23">
        <v>1.3269230769230769E-2</v>
      </c>
      <c r="L22" s="3">
        <v>1.6443594646271511E-2</v>
      </c>
      <c r="M22" s="20">
        <v>1.0058027079303675E-2</v>
      </c>
      <c r="N22" s="25">
        <v>1.7177500842034354E-2</v>
      </c>
      <c r="O22" s="3">
        <v>1.9489247311827957E-2</v>
      </c>
      <c r="P22" s="6">
        <v>1.4854827819041188E-2</v>
      </c>
    </row>
    <row r="23" spans="1:16" x14ac:dyDescent="0.45">
      <c r="A23" s="37" t="s">
        <v>82</v>
      </c>
      <c r="B23" s="25">
        <v>8.2825806111418709E-2</v>
      </c>
      <c r="C23" s="3">
        <v>9.0026466811666359E-2</v>
      </c>
      <c r="D23" s="6">
        <v>7.5536514842029875E-2</v>
      </c>
      <c r="E23" s="23">
        <v>6.611983595078523E-2</v>
      </c>
      <c r="F23" s="3">
        <v>7.2100941317844988E-2</v>
      </c>
      <c r="G23" s="20">
        <v>6.0151878497202237E-2</v>
      </c>
      <c r="H23" s="25">
        <v>5.0186567164179102E-2</v>
      </c>
      <c r="I23" s="3">
        <v>5.7046979865771813E-2</v>
      </c>
      <c r="J23" s="6">
        <v>4.3315907393577296E-2</v>
      </c>
      <c r="K23" s="23">
        <v>8.288461538461539E-2</v>
      </c>
      <c r="L23" s="3">
        <v>9.4072657743785856E-2</v>
      </c>
      <c r="M23" s="20">
        <v>7.1566731141199227E-2</v>
      </c>
      <c r="N23" s="25">
        <v>4.5806668912091612E-2</v>
      </c>
      <c r="O23" s="3">
        <v>5.4435483870967742E-2</v>
      </c>
      <c r="P23" s="6">
        <v>3.7137069547602972E-2</v>
      </c>
    </row>
    <row r="24" spans="1:16" x14ac:dyDescent="0.45">
      <c r="A24" s="37" t="s">
        <v>83</v>
      </c>
      <c r="B24" s="25">
        <v>0.11775949800943869</v>
      </c>
      <c r="C24" s="3">
        <v>0.117200807106732</v>
      </c>
      <c r="D24" s="6">
        <v>0.11832506565509192</v>
      </c>
      <c r="E24" s="23">
        <v>0.10073021906571972</v>
      </c>
      <c r="F24" s="3">
        <v>0.10354496294812737</v>
      </c>
      <c r="G24" s="20">
        <v>9.7921662669864115E-2</v>
      </c>
      <c r="H24" s="25">
        <v>8.9365671641791045E-2</v>
      </c>
      <c r="I24" s="3">
        <v>9.7315436241610737E-2</v>
      </c>
      <c r="J24" s="6">
        <v>8.1404032860343534E-2</v>
      </c>
      <c r="K24" s="23">
        <v>0.10634615384615384</v>
      </c>
      <c r="L24" s="3">
        <v>0.10439770554493308</v>
      </c>
      <c r="M24" s="20">
        <v>0.10831721470019343</v>
      </c>
      <c r="N24" s="25">
        <v>7.611990569215224E-2</v>
      </c>
      <c r="O24" s="3">
        <v>7.459677419354839E-2</v>
      </c>
      <c r="P24" s="6">
        <v>7.7650236326806218E-2</v>
      </c>
    </row>
    <row r="25" spans="1:16" x14ac:dyDescent="0.45">
      <c r="A25" s="37" t="s">
        <v>84</v>
      </c>
      <c r="B25" s="25">
        <v>8.2166679849191918E-2</v>
      </c>
      <c r="C25" s="3">
        <v>7.8077094415764783E-2</v>
      </c>
      <c r="D25" s="6">
        <v>8.6306602647425526E-2</v>
      </c>
      <c r="E25" s="23">
        <v>8.7226167850355113E-2</v>
      </c>
      <c r="F25" s="3">
        <v>8.431804526336871E-2</v>
      </c>
      <c r="G25" s="20">
        <v>9.0127897681854516E-2</v>
      </c>
      <c r="H25" s="25">
        <v>9.2164179104477606E-2</v>
      </c>
      <c r="I25" s="3">
        <v>8.7248322147651006E-2</v>
      </c>
      <c r="J25" s="6">
        <v>9.7087378640776698E-2</v>
      </c>
      <c r="K25" s="23">
        <v>7.0192307692307693E-2</v>
      </c>
      <c r="L25" s="3">
        <v>6.2332695984703632E-2</v>
      </c>
      <c r="M25" s="20">
        <v>7.8143133462282396E-2</v>
      </c>
      <c r="N25" s="25">
        <v>6.0289659818120581E-2</v>
      </c>
      <c r="O25" s="3">
        <v>6.0483870967741937E-2</v>
      </c>
      <c r="P25" s="6">
        <v>6.0094530722484808E-2</v>
      </c>
    </row>
    <row r="26" spans="1:16" x14ac:dyDescent="0.45">
      <c r="A26" s="37" t="s">
        <v>85</v>
      </c>
      <c r="B26" s="25">
        <v>6.187218223522898E-2</v>
      </c>
      <c r="C26" s="3">
        <v>5.9091742878855373E-2</v>
      </c>
      <c r="D26" s="6">
        <v>6.4686845107037691E-2</v>
      </c>
      <c r="E26" s="23">
        <v>7.822346704011203E-2</v>
      </c>
      <c r="F26" s="3">
        <v>7.6707390346485077E-2</v>
      </c>
      <c r="G26" s="20">
        <v>7.9736211031175064E-2</v>
      </c>
      <c r="H26" s="25">
        <v>7.6305970149253735E-2</v>
      </c>
      <c r="I26" s="3">
        <v>7.3825503355704702E-2</v>
      </c>
      <c r="J26" s="6">
        <v>7.8790141896938018E-2</v>
      </c>
      <c r="K26" s="23">
        <v>4.2692307692307689E-2</v>
      </c>
      <c r="L26" s="3">
        <v>4.1300191204588908E-2</v>
      </c>
      <c r="M26" s="20">
        <v>4.4100580270793034E-2</v>
      </c>
      <c r="N26" s="25">
        <v>7.8814415628157622E-2</v>
      </c>
      <c r="O26" s="3">
        <v>8.1317204301075266E-2</v>
      </c>
      <c r="P26" s="6">
        <v>7.6299797434166108E-2</v>
      </c>
    </row>
    <row r="27" spans="1:16" x14ac:dyDescent="0.45">
      <c r="A27" s="37" t="s">
        <v>86</v>
      </c>
      <c r="B27" s="25">
        <v>5.7423079965198132E-2</v>
      </c>
      <c r="C27" s="3">
        <v>5.7139487958910933E-2</v>
      </c>
      <c r="D27" s="6">
        <v>5.7710162612409473E-2</v>
      </c>
      <c r="E27" s="23">
        <v>7.2521756526958081E-2</v>
      </c>
      <c r="F27" s="3">
        <v>7.1700380532745842E-2</v>
      </c>
      <c r="G27" s="20">
        <v>7.3341326938449247E-2</v>
      </c>
      <c r="H27" s="25">
        <v>8.432835820895522E-2</v>
      </c>
      <c r="I27" s="3">
        <v>8.5011185682326629E-2</v>
      </c>
      <c r="J27" s="6">
        <v>8.3644510828976851E-2</v>
      </c>
      <c r="K27" s="23">
        <v>5.6923076923076923E-2</v>
      </c>
      <c r="L27" s="3">
        <v>6.15678776290631E-2</v>
      </c>
      <c r="M27" s="20">
        <v>5.2224371373307543E-2</v>
      </c>
      <c r="N27" s="25">
        <v>8.0498484338160994E-2</v>
      </c>
      <c r="O27" s="3">
        <v>7.5268817204301078E-2</v>
      </c>
      <c r="P27" s="6">
        <v>8.5752869682646865E-2</v>
      </c>
    </row>
    <row r="28" spans="1:16" x14ac:dyDescent="0.45">
      <c r="A28" s="37" t="s">
        <v>87</v>
      </c>
      <c r="B28" s="25">
        <v>5.737694112684226E-2</v>
      </c>
      <c r="C28" s="3">
        <v>5.8895207148659624E-2</v>
      </c>
      <c r="D28" s="6">
        <v>5.5839987266891267E-2</v>
      </c>
      <c r="E28" s="23">
        <v>7.4422326698009397E-2</v>
      </c>
      <c r="F28" s="3">
        <v>7.6707390346485077E-2</v>
      </c>
      <c r="G28" s="20">
        <v>7.214228617106315E-2</v>
      </c>
      <c r="H28" s="25">
        <v>8.3022388059701496E-2</v>
      </c>
      <c r="I28" s="3">
        <v>8.4638329604772564E-2</v>
      </c>
      <c r="J28" s="6">
        <v>8.1404032860343534E-2</v>
      </c>
      <c r="K28" s="23">
        <v>5.7884615384615382E-2</v>
      </c>
      <c r="L28" s="3">
        <v>5.736137667304015E-2</v>
      </c>
      <c r="M28" s="20">
        <v>5.8413926499032882E-2</v>
      </c>
      <c r="N28" s="25">
        <v>4.715392388009431E-2</v>
      </c>
      <c r="O28" s="3">
        <v>4.6370967741935484E-2</v>
      </c>
      <c r="P28" s="6">
        <v>4.7940580688723838E-2</v>
      </c>
    </row>
    <row r="29" spans="1:16" x14ac:dyDescent="0.45">
      <c r="A29" s="37" t="s">
        <v>88</v>
      </c>
      <c r="B29" s="25">
        <v>6.7323156423844552E-2</v>
      </c>
      <c r="C29" s="3">
        <v>6.9298498467021311E-2</v>
      </c>
      <c r="D29" s="6">
        <v>6.5323500543809851E-2</v>
      </c>
      <c r="E29" s="23">
        <v>8.4225267580274085E-2</v>
      </c>
      <c r="F29" s="3">
        <v>8.7121970759062695E-2</v>
      </c>
      <c r="G29" s="20">
        <v>8.1334932054356518E-2</v>
      </c>
      <c r="H29" s="25">
        <v>9.9440298507462693E-2</v>
      </c>
      <c r="I29" s="3">
        <v>0.1070096942580164</v>
      </c>
      <c r="J29" s="6">
        <v>9.1859596713965652E-2</v>
      </c>
      <c r="K29" s="23">
        <v>7.1730769230769237E-2</v>
      </c>
      <c r="L29" s="3">
        <v>7.3040152963671126E-2</v>
      </c>
      <c r="M29" s="20">
        <v>7.0406189555125731E-2</v>
      </c>
      <c r="N29" s="25">
        <v>6.3994610980127986E-2</v>
      </c>
      <c r="O29" s="3">
        <v>7.0564516129032265E-2</v>
      </c>
      <c r="P29" s="6">
        <v>5.7393652937204588E-2</v>
      </c>
    </row>
    <row r="30" spans="1:16" x14ac:dyDescent="0.45">
      <c r="A30" s="37" t="s">
        <v>89</v>
      </c>
      <c r="B30" s="25">
        <v>7.4079200611669171E-2</v>
      </c>
      <c r="C30" s="3">
        <v>7.4146379811849794E-2</v>
      </c>
      <c r="D30" s="6">
        <v>7.4011194524763249E-2</v>
      </c>
      <c r="E30" s="23">
        <v>8.1724517355206555E-2</v>
      </c>
      <c r="F30" s="3">
        <v>8.05127178049269E-2</v>
      </c>
      <c r="G30" s="20">
        <v>8.2933653077537972E-2</v>
      </c>
      <c r="H30" s="25">
        <v>0.10895522388059702</v>
      </c>
      <c r="I30" s="3">
        <v>0.10365398956002983</v>
      </c>
      <c r="J30" s="6">
        <v>0.11426437640029873</v>
      </c>
      <c r="K30" s="23">
        <v>8.096153846153846E-2</v>
      </c>
      <c r="L30" s="3">
        <v>8.2982791586998089E-2</v>
      </c>
      <c r="M30" s="20">
        <v>7.891682785299807E-2</v>
      </c>
      <c r="N30" s="25">
        <v>9.3634220276187272E-2</v>
      </c>
      <c r="O30" s="3">
        <v>9.3413978494623656E-2</v>
      </c>
      <c r="P30" s="6">
        <v>9.3855503038487512E-2</v>
      </c>
    </row>
    <row r="31" spans="1:16" x14ac:dyDescent="0.45">
      <c r="A31" s="37" t="s">
        <v>90</v>
      </c>
      <c r="B31" s="25">
        <v>6.4264810567112238E-2</v>
      </c>
      <c r="C31" s="3">
        <v>6.2747307460496324E-2</v>
      </c>
      <c r="D31" s="6">
        <v>6.5800992121388971E-2</v>
      </c>
      <c r="E31" s="23">
        <v>8.0124037211163346E-2</v>
      </c>
      <c r="F31" s="3">
        <v>7.6306829561385944E-2</v>
      </c>
      <c r="G31" s="20">
        <v>8.3932853717026384E-2</v>
      </c>
      <c r="H31" s="25">
        <v>0.10578358208955224</v>
      </c>
      <c r="I31" s="3">
        <v>0.10477255779269203</v>
      </c>
      <c r="J31" s="6">
        <v>0.10679611650485436</v>
      </c>
      <c r="K31" s="23">
        <v>8.1538461538461532E-2</v>
      </c>
      <c r="L31" s="3">
        <v>8.4894837476099425E-2</v>
      </c>
      <c r="M31" s="20">
        <v>7.8143133462282396E-2</v>
      </c>
      <c r="N31" s="25">
        <v>7.611990569215224E-2</v>
      </c>
      <c r="O31" s="3">
        <v>7.459677419354839E-2</v>
      </c>
      <c r="P31" s="6">
        <v>7.7650236326806218E-2</v>
      </c>
    </row>
    <row r="32" spans="1:16" x14ac:dyDescent="0.45">
      <c r="A32" s="37" t="s">
        <v>91</v>
      </c>
      <c r="B32" s="25">
        <v>5.6843048854438555E-2</v>
      </c>
      <c r="C32" s="3">
        <v>5.581614737559288E-2</v>
      </c>
      <c r="D32" s="6">
        <v>5.7882590126535266E-2</v>
      </c>
      <c r="E32" s="23">
        <v>7.3121936580974295E-2</v>
      </c>
      <c r="F32" s="3">
        <v>7.4704586420989386E-2</v>
      </c>
      <c r="G32" s="20">
        <v>7.1542765787370108E-2</v>
      </c>
      <c r="H32" s="25">
        <v>7.6492537313432835E-2</v>
      </c>
      <c r="I32" s="3">
        <v>7.0469798657718116E-2</v>
      </c>
      <c r="J32" s="6">
        <v>8.2524271844660199E-2</v>
      </c>
      <c r="K32" s="23">
        <v>8.615384615384615E-2</v>
      </c>
      <c r="L32" s="3">
        <v>8.1070745697896754E-2</v>
      </c>
      <c r="M32" s="20">
        <v>9.1295938104448748E-2</v>
      </c>
      <c r="N32" s="25">
        <v>9.7339171438194677E-2</v>
      </c>
      <c r="O32" s="3">
        <v>9.0053763440860218E-2</v>
      </c>
      <c r="P32" s="6">
        <v>0.10465901417960838</v>
      </c>
    </row>
    <row r="33" spans="1:16" x14ac:dyDescent="0.45">
      <c r="A33" s="37" t="s">
        <v>92</v>
      </c>
      <c r="B33" s="25">
        <v>4.3284821640433443E-2</v>
      </c>
      <c r="C33" s="3">
        <v>4.0800817588637614E-2</v>
      </c>
      <c r="D33" s="6">
        <v>4.5799400482797042E-2</v>
      </c>
      <c r="E33" s="23">
        <v>6.6820046013804146E-2</v>
      </c>
      <c r="F33" s="3">
        <v>6.3689164830763062E-2</v>
      </c>
      <c r="G33" s="20">
        <v>6.9944044764188654E-2</v>
      </c>
      <c r="H33" s="25">
        <v>4.0485074626865673E-2</v>
      </c>
      <c r="I33" s="3">
        <v>3.6539895600298286E-2</v>
      </c>
      <c r="J33" s="6">
        <v>4.4436146377893948E-2</v>
      </c>
      <c r="K33" s="23">
        <v>8.9038461538461539E-2</v>
      </c>
      <c r="L33" s="3">
        <v>8.5659655831739956E-2</v>
      </c>
      <c r="M33" s="20">
        <v>9.2456479690522245E-2</v>
      </c>
      <c r="N33" s="25">
        <v>0.10003368137420007</v>
      </c>
      <c r="O33" s="3">
        <v>0.11559139784946236</v>
      </c>
      <c r="P33" s="6">
        <v>8.4402430790006755E-2</v>
      </c>
    </row>
    <row r="34" spans="1:16" x14ac:dyDescent="0.45">
      <c r="A34" s="37" t="s">
        <v>93</v>
      </c>
      <c r="B34" s="25">
        <v>2.6681431094940547E-2</v>
      </c>
      <c r="C34" s="3">
        <v>2.463247818453395E-2</v>
      </c>
      <c r="D34" s="6">
        <v>2.875560389420909E-2</v>
      </c>
      <c r="E34" s="23">
        <v>3.2209662898869659E-2</v>
      </c>
      <c r="F34" s="3">
        <v>2.6036451031444023E-2</v>
      </c>
      <c r="G34" s="20">
        <v>3.8369304556354913E-2</v>
      </c>
      <c r="H34" s="25">
        <v>1.3619402985074627E-2</v>
      </c>
      <c r="I34" s="3">
        <v>9.3214019388516041E-3</v>
      </c>
      <c r="J34" s="6">
        <v>1.7923823749066467E-2</v>
      </c>
      <c r="K34" s="23">
        <v>9.3846153846153843E-2</v>
      </c>
      <c r="L34" s="3">
        <v>9.636711281070745E-2</v>
      </c>
      <c r="M34" s="20">
        <v>9.1295938104448748E-2</v>
      </c>
      <c r="N34" s="25">
        <v>8.6561131694173121E-2</v>
      </c>
      <c r="O34" s="3">
        <v>7.190860215053764E-2</v>
      </c>
      <c r="P34" s="6">
        <v>0.1012829169480081</v>
      </c>
    </row>
    <row r="35" spans="1:16" ht="14.65" thickBot="1" x14ac:dyDescent="0.5">
      <c r="A35" s="38" t="s">
        <v>94</v>
      </c>
      <c r="B35" s="26">
        <v>1.616836721242321E-2</v>
      </c>
      <c r="C35" s="8">
        <v>1.436021068630277E-2</v>
      </c>
      <c r="D35" s="9">
        <v>1.7998779743746186E-2</v>
      </c>
      <c r="E35" s="24">
        <v>1.3504051215364609E-2</v>
      </c>
      <c r="F35" s="8">
        <v>1.0815141197676747E-2</v>
      </c>
      <c r="G35" s="21">
        <v>1.618705035971223E-2</v>
      </c>
      <c r="H35" s="26">
        <v>6.3432835820895518E-3</v>
      </c>
      <c r="I35" s="8">
        <v>4.8471290082028337E-3</v>
      </c>
      <c r="J35" s="9">
        <v>7.8416728902165802E-3</v>
      </c>
      <c r="K35" s="24">
        <v>5.2884615384615384E-2</v>
      </c>
      <c r="L35" s="8">
        <v>4.474187380497132E-2</v>
      </c>
      <c r="M35" s="21">
        <v>6.1121856866537719E-2</v>
      </c>
      <c r="N35" s="26">
        <v>5.0185247558100374E-2</v>
      </c>
      <c r="O35" s="8">
        <v>4.9059139784946235E-2</v>
      </c>
      <c r="P35" s="9">
        <v>5.1316677920324107E-2</v>
      </c>
    </row>
    <row r="36" spans="1:16" x14ac:dyDescent="0.45">
      <c r="B36" s="11">
        <f t="shared" ref="B36:P36" si="0">SUM(B12:B35)</f>
        <v>1</v>
      </c>
      <c r="C36" s="11">
        <f t="shared" si="0"/>
        <v>0.99999999999999989</v>
      </c>
      <c r="D36" s="11">
        <f t="shared" si="0"/>
        <v>1</v>
      </c>
      <c r="E36" s="11">
        <f t="shared" si="0"/>
        <v>0.99999999999999989</v>
      </c>
      <c r="F36" s="11">
        <f t="shared" si="0"/>
        <v>1</v>
      </c>
      <c r="G36" s="11">
        <f t="shared" si="0"/>
        <v>1</v>
      </c>
      <c r="H36" s="11">
        <f t="shared" si="0"/>
        <v>0.99999999999999989</v>
      </c>
      <c r="I36" s="11">
        <f t="shared" si="0"/>
        <v>0.99999999999999989</v>
      </c>
      <c r="J36" s="11">
        <f t="shared" si="0"/>
        <v>0.99999999999999978</v>
      </c>
      <c r="K36" s="11">
        <f t="shared" si="0"/>
        <v>0.99999999999999989</v>
      </c>
      <c r="L36" s="11">
        <f t="shared" si="0"/>
        <v>0.99999999999999978</v>
      </c>
      <c r="M36" s="11">
        <f t="shared" si="0"/>
        <v>1</v>
      </c>
      <c r="N36" s="11">
        <f t="shared" si="0"/>
        <v>1</v>
      </c>
      <c r="O36" s="11">
        <f t="shared" si="0"/>
        <v>1</v>
      </c>
      <c r="P36" s="11">
        <f t="shared" si="0"/>
        <v>1</v>
      </c>
    </row>
  </sheetData>
  <mergeCells count="33">
    <mergeCell ref="B10:D10"/>
    <mergeCell ref="E10:G10"/>
    <mergeCell ref="H10:J10"/>
    <mergeCell ref="K10:M10"/>
    <mergeCell ref="N10:P10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A1:P2"/>
    <mergeCell ref="A3:P3"/>
    <mergeCell ref="A4:P4"/>
    <mergeCell ref="B5:D5"/>
    <mergeCell ref="E5:G5"/>
    <mergeCell ref="H5:J5"/>
    <mergeCell ref="K5:M5"/>
    <mergeCell ref="N5:P5"/>
  </mergeCells>
  <pageMargins left="0.7" right="0.7" top="0.75" bottom="0.75" header="0.3" footer="0.3"/>
  <pageSetup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FF00"/>
  </sheetPr>
  <dimension ref="A1:D36"/>
  <sheetViews>
    <sheetView topLeftCell="A4" workbookViewId="0">
      <selection activeCell="D35" sqref="A10:D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937</v>
      </c>
      <c r="C5" s="102"/>
      <c r="D5" s="103"/>
    </row>
    <row r="6" spans="1:4" x14ac:dyDescent="0.45">
      <c r="A6" s="61" t="s">
        <v>0</v>
      </c>
      <c r="B6" s="87" t="s">
        <v>124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1.244167962674961E-3</v>
      </c>
      <c r="C12" s="3">
        <v>1.2445550715619166E-3</v>
      </c>
      <c r="D12" s="6">
        <v>1.2437810945273632E-3</v>
      </c>
    </row>
    <row r="13" spans="1:4" x14ac:dyDescent="0.45">
      <c r="A13" s="61" t="s">
        <v>72</v>
      </c>
      <c r="B13" s="23">
        <v>9.3312597200622088E-4</v>
      </c>
      <c r="C13" s="3">
        <v>6.222775357809583E-4</v>
      </c>
      <c r="D13" s="6">
        <v>1.2437810945273632E-3</v>
      </c>
    </row>
    <row r="14" spans="1:4" x14ac:dyDescent="0.45">
      <c r="A14" s="61" t="s">
        <v>73</v>
      </c>
      <c r="B14" s="23">
        <v>3.1104199066874026E-4</v>
      </c>
      <c r="C14" s="3">
        <v>0</v>
      </c>
      <c r="D14" s="6">
        <v>6.2189054726368158E-4</v>
      </c>
    </row>
    <row r="15" spans="1:4" x14ac:dyDescent="0.45">
      <c r="A15" s="61" t="s">
        <v>74</v>
      </c>
      <c r="B15" s="23">
        <v>2.7993779160186624E-3</v>
      </c>
      <c r="C15" s="3">
        <v>4.3559427504667085E-3</v>
      </c>
      <c r="D15" s="6">
        <v>1.2437810945273632E-3</v>
      </c>
    </row>
    <row r="16" spans="1:4" x14ac:dyDescent="0.45">
      <c r="A16" s="61" t="s">
        <v>75</v>
      </c>
      <c r="B16" s="23">
        <v>1.7107309486780714E-2</v>
      </c>
      <c r="C16" s="3">
        <v>1.9290603609209707E-2</v>
      </c>
      <c r="D16" s="6">
        <v>1.4925373134328358E-2</v>
      </c>
    </row>
    <row r="17" spans="1:4" x14ac:dyDescent="0.45">
      <c r="A17" s="61" t="s">
        <v>76</v>
      </c>
      <c r="B17" s="23">
        <v>7.4961119751166413E-2</v>
      </c>
      <c r="C17" s="3">
        <v>8.2140634723086497E-2</v>
      </c>
      <c r="D17" s="6">
        <v>6.778606965174129E-2</v>
      </c>
    </row>
    <row r="18" spans="1:4" x14ac:dyDescent="0.45">
      <c r="A18" s="61" t="s">
        <v>77</v>
      </c>
      <c r="B18" s="23">
        <v>9.4556765163297044E-2</v>
      </c>
      <c r="C18" s="3">
        <v>0.10018668326073429</v>
      </c>
      <c r="D18" s="6">
        <v>8.8930348258706465E-2</v>
      </c>
    </row>
    <row r="19" spans="1:4" x14ac:dyDescent="0.45">
      <c r="A19" s="61" t="s">
        <v>78</v>
      </c>
      <c r="B19" s="23">
        <v>0.10046656298600311</v>
      </c>
      <c r="C19" s="3">
        <v>0.10267579340385811</v>
      </c>
      <c r="D19" s="6">
        <v>9.8258706467661688E-2</v>
      </c>
    </row>
    <row r="20" spans="1:4" x14ac:dyDescent="0.45">
      <c r="A20" s="61" t="s">
        <v>79</v>
      </c>
      <c r="B20" s="23">
        <v>0.10046656298600311</v>
      </c>
      <c r="C20" s="3">
        <v>0.10018668326073429</v>
      </c>
      <c r="D20" s="6">
        <v>0.10074626865671642</v>
      </c>
    </row>
    <row r="21" spans="1:4" x14ac:dyDescent="0.45">
      <c r="A21" s="61" t="s">
        <v>80</v>
      </c>
      <c r="B21" s="23">
        <v>8.0559875583203738E-2</v>
      </c>
      <c r="C21" s="3">
        <v>7.6540136901057876E-2</v>
      </c>
      <c r="D21" s="6">
        <v>8.45771144278607E-2</v>
      </c>
    </row>
    <row r="22" spans="1:4" x14ac:dyDescent="0.45">
      <c r="A22" s="61" t="s">
        <v>81</v>
      </c>
      <c r="B22" s="23">
        <v>7.4027993779160181E-2</v>
      </c>
      <c r="C22" s="3">
        <v>7.1561916614810206E-2</v>
      </c>
      <c r="D22" s="6">
        <v>7.6492537313432835E-2</v>
      </c>
    </row>
    <row r="23" spans="1:4" x14ac:dyDescent="0.45">
      <c r="A23" s="61" t="s">
        <v>82</v>
      </c>
      <c r="B23" s="23">
        <v>6.9362363919129089E-2</v>
      </c>
      <c r="C23" s="3">
        <v>6.6583696328562536E-2</v>
      </c>
      <c r="D23" s="6">
        <v>7.2139303482587069E-2</v>
      </c>
    </row>
    <row r="24" spans="1:4" x14ac:dyDescent="0.45">
      <c r="A24" s="61" t="s">
        <v>83</v>
      </c>
      <c r="B24" s="23">
        <v>5.7542768273716953E-2</v>
      </c>
      <c r="C24" s="3">
        <v>5.4138145612943375E-2</v>
      </c>
      <c r="D24" s="6">
        <v>6.0945273631840796E-2</v>
      </c>
    </row>
    <row r="25" spans="1:4" x14ac:dyDescent="0.45">
      <c r="A25" s="61" t="s">
        <v>84</v>
      </c>
      <c r="B25" s="23">
        <v>5.9720062208398136E-2</v>
      </c>
      <c r="C25" s="3">
        <v>6.2850031113876784E-2</v>
      </c>
      <c r="D25" s="6">
        <v>5.6592039800995024E-2</v>
      </c>
    </row>
    <row r="26" spans="1:4" x14ac:dyDescent="0.45">
      <c r="A26" s="61" t="s">
        <v>85</v>
      </c>
      <c r="B26" s="23">
        <v>5.3810264385692065E-2</v>
      </c>
      <c r="C26" s="3">
        <v>5.164903546981954E-2</v>
      </c>
      <c r="D26" s="6">
        <v>5.5970149253731345E-2</v>
      </c>
    </row>
    <row r="27" spans="1:4" x14ac:dyDescent="0.45">
      <c r="A27" s="61" t="s">
        <v>86</v>
      </c>
      <c r="B27" s="23">
        <v>5.505443234836703E-2</v>
      </c>
      <c r="C27" s="3">
        <v>5.7249533291848162E-2</v>
      </c>
      <c r="D27" s="6">
        <v>5.2860696517412938E-2</v>
      </c>
    </row>
    <row r="28" spans="1:4" x14ac:dyDescent="0.45">
      <c r="A28" s="61" t="s">
        <v>87</v>
      </c>
      <c r="B28" s="23">
        <v>4.385692068429238E-2</v>
      </c>
      <c r="C28" s="3">
        <v>4.6048537647790912E-2</v>
      </c>
      <c r="D28" s="6">
        <v>4.1666666666666664E-2</v>
      </c>
    </row>
    <row r="29" spans="1:4" x14ac:dyDescent="0.45">
      <c r="A29" s="61" t="s">
        <v>88</v>
      </c>
      <c r="B29" s="23">
        <v>3.0482115085536547E-2</v>
      </c>
      <c r="C29" s="3">
        <v>2.6757934038581208E-2</v>
      </c>
      <c r="D29" s="6">
        <v>3.4203980099502485E-2</v>
      </c>
    </row>
    <row r="30" spans="1:4" x14ac:dyDescent="0.45">
      <c r="A30" s="61" t="s">
        <v>89</v>
      </c>
      <c r="B30" s="23">
        <v>2.8615863141524107E-2</v>
      </c>
      <c r="C30" s="3">
        <v>2.6757934038581208E-2</v>
      </c>
      <c r="D30" s="6">
        <v>3.0472636815920398E-2</v>
      </c>
    </row>
    <row r="31" spans="1:4" x14ac:dyDescent="0.45">
      <c r="A31" s="61" t="s">
        <v>90</v>
      </c>
      <c r="B31" s="23">
        <v>2.1461897356143081E-2</v>
      </c>
      <c r="C31" s="3">
        <v>2.1157436216552583E-2</v>
      </c>
      <c r="D31" s="6">
        <v>2.1766169154228857E-2</v>
      </c>
    </row>
    <row r="32" spans="1:4" x14ac:dyDescent="0.45">
      <c r="A32" s="61" t="s">
        <v>91</v>
      </c>
      <c r="B32" s="23">
        <v>1.5552099533437015E-2</v>
      </c>
      <c r="C32" s="3">
        <v>1.2445550715619166E-2</v>
      </c>
      <c r="D32" s="6">
        <v>1.8656716417910446E-2</v>
      </c>
    </row>
    <row r="33" spans="1:4" x14ac:dyDescent="0.45">
      <c r="A33" s="61" t="s">
        <v>92</v>
      </c>
      <c r="B33" s="23">
        <v>1.181959564541213E-2</v>
      </c>
      <c r="C33" s="3">
        <v>1.1823273179838207E-2</v>
      </c>
      <c r="D33" s="6">
        <v>1.181592039800995E-2</v>
      </c>
    </row>
    <row r="34" spans="1:4" x14ac:dyDescent="0.45">
      <c r="A34" s="61" t="s">
        <v>93</v>
      </c>
      <c r="B34" s="23">
        <v>4.9766718506998441E-3</v>
      </c>
      <c r="C34" s="3">
        <v>3.7336652146857498E-3</v>
      </c>
      <c r="D34" s="6">
        <v>6.2189054726368162E-3</v>
      </c>
    </row>
    <row r="35" spans="1:4" ht="14.65" thickBot="1" x14ac:dyDescent="0.5">
      <c r="A35" s="63" t="s">
        <v>94</v>
      </c>
      <c r="B35" s="24">
        <v>3.1104199066874026E-4</v>
      </c>
      <c r="C35" s="8">
        <v>0</v>
      </c>
      <c r="D35" s="9">
        <v>6.2189054726368158E-4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FF00"/>
  </sheetPr>
  <dimension ref="A1:D36"/>
  <sheetViews>
    <sheetView topLeftCell="A2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941</v>
      </c>
      <c r="C5" s="102"/>
      <c r="D5" s="103"/>
    </row>
    <row r="6" spans="1:4" x14ac:dyDescent="0.45">
      <c r="A6" s="61" t="s">
        <v>0</v>
      </c>
      <c r="B6" s="87" t="s">
        <v>50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0</v>
      </c>
      <c r="C18" s="3">
        <v>0</v>
      </c>
      <c r="D18" s="6">
        <v>0</v>
      </c>
    </row>
    <row r="19" spans="1:4" x14ac:dyDescent="0.45">
      <c r="A19" s="61" t="s">
        <v>78</v>
      </c>
      <c r="B19" s="23">
        <v>0</v>
      </c>
      <c r="C19" s="3">
        <v>0</v>
      </c>
      <c r="D19" s="6">
        <v>0</v>
      </c>
    </row>
    <row r="20" spans="1:4" x14ac:dyDescent="0.45">
      <c r="A20" s="61" t="s">
        <v>79</v>
      </c>
      <c r="B20" s="23">
        <v>8.3333333333333329E-2</v>
      </c>
      <c r="C20" s="3">
        <v>0.125</v>
      </c>
      <c r="D20" s="6">
        <v>4.1666666666666664E-2</v>
      </c>
    </row>
    <row r="21" spans="1:4" x14ac:dyDescent="0.45">
      <c r="A21" s="61" t="s">
        <v>80</v>
      </c>
      <c r="B21" s="23">
        <v>9.375E-2</v>
      </c>
      <c r="C21" s="3">
        <v>0.10416666666666667</v>
      </c>
      <c r="D21" s="6">
        <v>8.3333333333333329E-2</v>
      </c>
    </row>
    <row r="22" spans="1:4" x14ac:dyDescent="0.45">
      <c r="A22" s="61" t="s">
        <v>81</v>
      </c>
      <c r="B22" s="23">
        <v>0.125</v>
      </c>
      <c r="C22" s="3">
        <v>0.125</v>
      </c>
      <c r="D22" s="6">
        <v>0.125</v>
      </c>
    </row>
    <row r="23" spans="1:4" x14ac:dyDescent="0.45">
      <c r="A23" s="61" t="s">
        <v>82</v>
      </c>
      <c r="B23" s="23">
        <v>0.125</v>
      </c>
      <c r="C23" s="3">
        <v>0.10416666666666667</v>
      </c>
      <c r="D23" s="6">
        <v>0.14583333333333334</v>
      </c>
    </row>
    <row r="24" spans="1:4" x14ac:dyDescent="0.45">
      <c r="A24" s="61" t="s">
        <v>83</v>
      </c>
      <c r="B24" s="23">
        <v>6.25E-2</v>
      </c>
      <c r="C24" s="3">
        <v>6.25E-2</v>
      </c>
      <c r="D24" s="6">
        <v>6.25E-2</v>
      </c>
    </row>
    <row r="25" spans="1:4" x14ac:dyDescent="0.45">
      <c r="A25" s="61" t="s">
        <v>84</v>
      </c>
      <c r="B25" s="23">
        <v>8.3333333333333329E-2</v>
      </c>
      <c r="C25" s="3">
        <v>8.3333333333333329E-2</v>
      </c>
      <c r="D25" s="6">
        <v>8.3333333333333329E-2</v>
      </c>
    </row>
    <row r="26" spans="1:4" x14ac:dyDescent="0.45">
      <c r="A26" s="61" t="s">
        <v>85</v>
      </c>
      <c r="B26" s="23">
        <v>9.375E-2</v>
      </c>
      <c r="C26" s="3">
        <v>0.125</v>
      </c>
      <c r="D26" s="6">
        <v>6.25E-2</v>
      </c>
    </row>
    <row r="27" spans="1:4" x14ac:dyDescent="0.45">
      <c r="A27" s="61" t="s">
        <v>86</v>
      </c>
      <c r="B27" s="23">
        <v>0.11458333333333333</v>
      </c>
      <c r="C27" s="3">
        <v>0.125</v>
      </c>
      <c r="D27" s="6">
        <v>0.10416666666666667</v>
      </c>
    </row>
    <row r="28" spans="1:4" x14ac:dyDescent="0.45">
      <c r="A28" s="61" t="s">
        <v>87</v>
      </c>
      <c r="B28" s="23">
        <v>0.11458333333333333</v>
      </c>
      <c r="C28" s="3">
        <v>8.3333333333333329E-2</v>
      </c>
      <c r="D28" s="6">
        <v>0.14583333333333334</v>
      </c>
    </row>
    <row r="29" spans="1:4" x14ac:dyDescent="0.45">
      <c r="A29" s="61" t="s">
        <v>88</v>
      </c>
      <c r="B29" s="23">
        <v>0.10416666666666667</v>
      </c>
      <c r="C29" s="3">
        <v>6.25E-2</v>
      </c>
      <c r="D29" s="6">
        <v>0.14583333333333334</v>
      </c>
    </row>
    <row r="30" spans="1:4" x14ac:dyDescent="0.45">
      <c r="A30" s="61" t="s">
        <v>89</v>
      </c>
      <c r="B30" s="23">
        <v>0</v>
      </c>
      <c r="C30" s="3">
        <v>0</v>
      </c>
      <c r="D30" s="6">
        <v>0</v>
      </c>
    </row>
    <row r="31" spans="1:4" x14ac:dyDescent="0.45">
      <c r="A31" s="61" t="s">
        <v>90</v>
      </c>
      <c r="B31" s="23">
        <v>0</v>
      </c>
      <c r="C31" s="3">
        <v>0</v>
      </c>
      <c r="D31" s="6">
        <v>0</v>
      </c>
    </row>
    <row r="32" spans="1:4" x14ac:dyDescent="0.45">
      <c r="A32" s="61" t="s">
        <v>91</v>
      </c>
      <c r="B32" s="23">
        <v>0</v>
      </c>
      <c r="C32" s="3">
        <v>0</v>
      </c>
      <c r="D32" s="6">
        <v>0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1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21D9-3B73-47D5-9BA8-6133D79E39A6}">
  <sheetPr>
    <tabColor rgb="FFFFFF00"/>
  </sheetPr>
  <dimension ref="A1:G36"/>
  <sheetViews>
    <sheetView topLeftCell="A4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  <col min="5" max="7" width="17.796875" customWidth="1"/>
  </cols>
  <sheetData>
    <row r="1" spans="1:7" ht="14.55" customHeight="1" x14ac:dyDescent="0.45">
      <c r="A1" s="110" t="s">
        <v>70</v>
      </c>
      <c r="B1" s="111"/>
      <c r="C1" s="111"/>
      <c r="D1" s="111"/>
      <c r="E1" s="111"/>
      <c r="F1" s="111"/>
      <c r="G1" s="112"/>
    </row>
    <row r="2" spans="1:7" ht="14.55" customHeight="1" x14ac:dyDescent="0.45">
      <c r="A2" s="113"/>
      <c r="B2" s="114"/>
      <c r="C2" s="114"/>
      <c r="D2" s="114"/>
      <c r="E2" s="114"/>
      <c r="F2" s="114"/>
      <c r="G2" s="115"/>
    </row>
    <row r="3" spans="1:7" x14ac:dyDescent="0.45">
      <c r="A3" s="149" t="s">
        <v>157</v>
      </c>
      <c r="B3" s="150"/>
      <c r="C3" s="150"/>
      <c r="D3" s="150"/>
      <c r="E3" s="150"/>
      <c r="F3" s="150"/>
      <c r="G3" s="151"/>
    </row>
    <row r="4" spans="1:7" ht="14.65" thickBot="1" x14ac:dyDescent="0.5">
      <c r="A4" s="141"/>
      <c r="B4" s="142"/>
      <c r="C4" s="142"/>
      <c r="D4" s="142"/>
      <c r="E4" s="142"/>
      <c r="F4" s="142"/>
      <c r="G4" s="143"/>
    </row>
    <row r="5" spans="1:7" x14ac:dyDescent="0.45">
      <c r="A5" s="60" t="s">
        <v>68</v>
      </c>
      <c r="B5" s="101">
        <v>942</v>
      </c>
      <c r="C5" s="102"/>
      <c r="D5" s="103"/>
      <c r="E5" s="102">
        <v>942</v>
      </c>
      <c r="F5" s="102"/>
      <c r="G5" s="103"/>
    </row>
    <row r="6" spans="1:7" x14ac:dyDescent="0.45">
      <c r="A6" s="61" t="s">
        <v>0</v>
      </c>
      <c r="B6" s="87" t="s">
        <v>194</v>
      </c>
      <c r="C6" s="88"/>
      <c r="D6" s="89"/>
      <c r="E6" s="88" t="s">
        <v>194</v>
      </c>
      <c r="F6" s="88"/>
      <c r="G6" s="89"/>
    </row>
    <row r="7" spans="1:7" x14ac:dyDescent="0.45">
      <c r="A7" s="61" t="s">
        <v>54</v>
      </c>
      <c r="B7" s="87" t="s">
        <v>55</v>
      </c>
      <c r="C7" s="88"/>
      <c r="D7" s="89"/>
      <c r="E7" s="88" t="s">
        <v>55</v>
      </c>
      <c r="F7" s="88"/>
      <c r="G7" s="89"/>
    </row>
    <row r="8" spans="1:7" x14ac:dyDescent="0.45">
      <c r="A8" s="61" t="s">
        <v>59</v>
      </c>
      <c r="B8" s="87" t="s">
        <v>60</v>
      </c>
      <c r="C8" s="88"/>
      <c r="D8" s="89"/>
      <c r="E8" s="88" t="s">
        <v>61</v>
      </c>
      <c r="F8" s="88"/>
      <c r="G8" s="89"/>
    </row>
    <row r="9" spans="1:7" ht="14.65" thickBot="1" x14ac:dyDescent="0.5">
      <c r="A9" s="63" t="s">
        <v>64</v>
      </c>
      <c r="B9" s="90">
        <v>1</v>
      </c>
      <c r="C9" s="91"/>
      <c r="D9" s="92"/>
      <c r="E9" s="91">
        <v>1</v>
      </c>
      <c r="F9" s="91"/>
      <c r="G9" s="92"/>
    </row>
    <row r="10" spans="1:7" x14ac:dyDescent="0.45">
      <c r="A10" s="62"/>
      <c r="B10" s="101" t="s">
        <v>134</v>
      </c>
      <c r="C10" s="102"/>
      <c r="D10" s="103"/>
      <c r="E10" s="102" t="s">
        <v>134</v>
      </c>
      <c r="F10" s="102"/>
      <c r="G10" s="103"/>
    </row>
    <row r="11" spans="1:7" x14ac:dyDescent="0.45">
      <c r="A11" s="61" t="s">
        <v>65</v>
      </c>
      <c r="B11" s="22" t="s">
        <v>95</v>
      </c>
      <c r="C11" s="2" t="s">
        <v>66</v>
      </c>
      <c r="D11" s="5" t="s">
        <v>67</v>
      </c>
      <c r="E11" s="2" t="s">
        <v>95</v>
      </c>
      <c r="F11" s="2" t="s">
        <v>66</v>
      </c>
      <c r="G11" s="5" t="s">
        <v>67</v>
      </c>
    </row>
    <row r="12" spans="1:7" x14ac:dyDescent="0.45">
      <c r="A12" s="61" t="s">
        <v>71</v>
      </c>
      <c r="B12" s="23">
        <v>0</v>
      </c>
      <c r="C12" s="3">
        <v>0</v>
      </c>
      <c r="D12" s="6">
        <v>0</v>
      </c>
      <c r="E12" s="3">
        <v>0</v>
      </c>
      <c r="F12" s="3">
        <v>0</v>
      </c>
      <c r="G12" s="6">
        <v>0</v>
      </c>
    </row>
    <row r="13" spans="1:7" x14ac:dyDescent="0.45">
      <c r="A13" s="61" t="s">
        <v>72</v>
      </c>
      <c r="B13" s="23">
        <v>0</v>
      </c>
      <c r="C13" s="3">
        <v>0</v>
      </c>
      <c r="D13" s="6">
        <v>0</v>
      </c>
      <c r="E13" s="3">
        <v>0</v>
      </c>
      <c r="F13" s="3">
        <v>0</v>
      </c>
      <c r="G13" s="6">
        <v>0</v>
      </c>
    </row>
    <row r="14" spans="1:7" x14ac:dyDescent="0.45">
      <c r="A14" s="61" t="s">
        <v>73</v>
      </c>
      <c r="B14" s="23">
        <v>0</v>
      </c>
      <c r="C14" s="3">
        <v>0</v>
      </c>
      <c r="D14" s="6">
        <v>0</v>
      </c>
      <c r="E14" s="3">
        <v>0</v>
      </c>
      <c r="F14" s="3">
        <v>0</v>
      </c>
      <c r="G14" s="6">
        <v>0</v>
      </c>
    </row>
    <row r="15" spans="1:7" x14ac:dyDescent="0.45">
      <c r="A15" s="61" t="s">
        <v>74</v>
      </c>
      <c r="B15" s="23">
        <v>0</v>
      </c>
      <c r="C15" s="3">
        <v>0</v>
      </c>
      <c r="D15" s="6">
        <v>0</v>
      </c>
      <c r="E15" s="3">
        <v>0</v>
      </c>
      <c r="F15" s="3">
        <v>0</v>
      </c>
      <c r="G15" s="6">
        <v>0</v>
      </c>
    </row>
    <row r="16" spans="1:7" x14ac:dyDescent="0.45">
      <c r="A16" s="61" t="s">
        <v>75</v>
      </c>
      <c r="B16" s="23">
        <v>0</v>
      </c>
      <c r="C16" s="3">
        <v>0</v>
      </c>
      <c r="D16" s="6">
        <v>0</v>
      </c>
      <c r="E16" s="3">
        <v>0</v>
      </c>
      <c r="F16" s="3">
        <v>0</v>
      </c>
      <c r="G16" s="6">
        <v>0</v>
      </c>
    </row>
    <row r="17" spans="1:7" x14ac:dyDescent="0.45">
      <c r="A17" s="61" t="s">
        <v>76</v>
      </c>
      <c r="B17" s="23">
        <v>0</v>
      </c>
      <c r="C17" s="3">
        <v>0</v>
      </c>
      <c r="D17" s="6">
        <v>0</v>
      </c>
      <c r="E17" s="3">
        <v>0</v>
      </c>
      <c r="F17" s="3">
        <v>0</v>
      </c>
      <c r="G17" s="6">
        <v>0</v>
      </c>
    </row>
    <row r="18" spans="1:7" x14ac:dyDescent="0.45">
      <c r="A18" s="61" t="s">
        <v>77</v>
      </c>
      <c r="B18" s="23">
        <v>2.032520325203252E-2</v>
      </c>
      <c r="C18" s="3">
        <v>4.065040650406504E-2</v>
      </c>
      <c r="D18" s="6">
        <v>0</v>
      </c>
      <c r="E18" s="3">
        <v>1.9867549668874173E-2</v>
      </c>
      <c r="F18" s="3">
        <v>3.3333333333333333E-2</v>
      </c>
      <c r="G18" s="6">
        <v>6.5789473684210523E-3</v>
      </c>
    </row>
    <row r="19" spans="1:7" x14ac:dyDescent="0.45">
      <c r="A19" s="61" t="s">
        <v>78</v>
      </c>
      <c r="B19" s="23">
        <v>3.6585365853658534E-2</v>
      </c>
      <c r="C19" s="3">
        <v>4.065040650406504E-2</v>
      </c>
      <c r="D19" s="6">
        <v>3.2520325203252036E-2</v>
      </c>
      <c r="E19" s="3">
        <v>6.2913907284768214E-2</v>
      </c>
      <c r="F19" s="3">
        <v>9.3333333333333338E-2</v>
      </c>
      <c r="G19" s="6">
        <v>3.2894736842105261E-2</v>
      </c>
    </row>
    <row r="20" spans="1:7" x14ac:dyDescent="0.45">
      <c r="A20" s="61" t="s">
        <v>79</v>
      </c>
      <c r="B20" s="23">
        <v>4.878048780487805E-2</v>
      </c>
      <c r="C20" s="3">
        <v>6.5040650406504072E-2</v>
      </c>
      <c r="D20" s="6">
        <v>3.2520325203252036E-2</v>
      </c>
      <c r="E20" s="3">
        <v>0.10596026490066225</v>
      </c>
      <c r="F20" s="3">
        <v>0.12666666666666668</v>
      </c>
      <c r="G20" s="6">
        <v>8.5526315789473686E-2</v>
      </c>
    </row>
    <row r="21" spans="1:7" x14ac:dyDescent="0.45">
      <c r="A21" s="61" t="s">
        <v>80</v>
      </c>
      <c r="B21" s="23">
        <v>9.7560975609756101E-2</v>
      </c>
      <c r="C21" s="3">
        <v>9.7560975609756101E-2</v>
      </c>
      <c r="D21" s="6">
        <v>9.7560975609756101E-2</v>
      </c>
      <c r="E21" s="3">
        <v>6.9536423841059597E-2</v>
      </c>
      <c r="F21" s="3">
        <v>6.6666666666666666E-2</v>
      </c>
      <c r="G21" s="6">
        <v>7.2368421052631582E-2</v>
      </c>
    </row>
    <row r="22" spans="1:7" x14ac:dyDescent="0.45">
      <c r="A22" s="61" t="s">
        <v>81</v>
      </c>
      <c r="B22" s="23">
        <v>0.10569105691056911</v>
      </c>
      <c r="C22" s="3">
        <v>0.12195121951219512</v>
      </c>
      <c r="D22" s="6">
        <v>8.943089430894309E-2</v>
      </c>
      <c r="E22" s="3">
        <v>0.10927152317880795</v>
      </c>
      <c r="F22" s="3">
        <v>0.10666666666666667</v>
      </c>
      <c r="G22" s="6">
        <v>0.1118421052631579</v>
      </c>
    </row>
    <row r="23" spans="1:7" x14ac:dyDescent="0.45">
      <c r="A23" s="61" t="s">
        <v>82</v>
      </c>
      <c r="B23" s="23">
        <v>0.12601626016260162</v>
      </c>
      <c r="C23" s="3">
        <v>0.10569105691056911</v>
      </c>
      <c r="D23" s="6">
        <v>0.14634146341463414</v>
      </c>
      <c r="E23" s="3">
        <v>6.6225165562913912E-2</v>
      </c>
      <c r="F23" s="3">
        <v>7.3333333333333334E-2</v>
      </c>
      <c r="G23" s="6">
        <v>5.921052631578947E-2</v>
      </c>
    </row>
    <row r="24" spans="1:7" x14ac:dyDescent="0.45">
      <c r="A24" s="61" t="s">
        <v>83</v>
      </c>
      <c r="B24" s="23">
        <v>0.11382113821138211</v>
      </c>
      <c r="C24" s="3">
        <v>0.13821138211382114</v>
      </c>
      <c r="D24" s="6">
        <v>8.943089430894309E-2</v>
      </c>
      <c r="E24" s="3">
        <v>9.602649006622517E-2</v>
      </c>
      <c r="F24" s="3">
        <v>8.666666666666667E-2</v>
      </c>
      <c r="G24" s="6">
        <v>0.10526315789473684</v>
      </c>
    </row>
    <row r="25" spans="1:7" x14ac:dyDescent="0.45">
      <c r="A25" s="61" t="s">
        <v>84</v>
      </c>
      <c r="B25" s="23">
        <v>4.878048780487805E-2</v>
      </c>
      <c r="C25" s="3">
        <v>3.2520325203252036E-2</v>
      </c>
      <c r="D25" s="6">
        <v>6.5040650406504072E-2</v>
      </c>
      <c r="E25" s="3">
        <v>0.11589403973509933</v>
      </c>
      <c r="F25" s="3">
        <v>0.12</v>
      </c>
      <c r="G25" s="6">
        <v>0.1118421052631579</v>
      </c>
    </row>
    <row r="26" spans="1:7" x14ac:dyDescent="0.45">
      <c r="A26" s="61" t="s">
        <v>85</v>
      </c>
      <c r="B26" s="23">
        <v>6.910569105691057E-2</v>
      </c>
      <c r="C26" s="3">
        <v>8.1300813008130079E-2</v>
      </c>
      <c r="D26" s="6">
        <v>5.6910569105691054E-2</v>
      </c>
      <c r="E26" s="3">
        <v>8.6092715231788075E-2</v>
      </c>
      <c r="F26" s="3">
        <v>7.3333333333333334E-2</v>
      </c>
      <c r="G26" s="6">
        <v>9.8684210526315791E-2</v>
      </c>
    </row>
    <row r="27" spans="1:7" x14ac:dyDescent="0.45">
      <c r="A27" s="61" t="s">
        <v>86</v>
      </c>
      <c r="B27" s="23">
        <v>5.2845528455284556E-2</v>
      </c>
      <c r="C27" s="3">
        <v>5.6910569105691054E-2</v>
      </c>
      <c r="D27" s="6">
        <v>4.878048780487805E-2</v>
      </c>
      <c r="E27" s="3">
        <v>8.6092715231788075E-2</v>
      </c>
      <c r="F27" s="3">
        <v>0.08</v>
      </c>
      <c r="G27" s="6">
        <v>9.2105263157894732E-2</v>
      </c>
    </row>
    <row r="28" spans="1:7" x14ac:dyDescent="0.45">
      <c r="A28" s="61" t="s">
        <v>87</v>
      </c>
      <c r="B28" s="23">
        <v>0.10975609756097561</v>
      </c>
      <c r="C28" s="3">
        <v>8.943089430894309E-2</v>
      </c>
      <c r="D28" s="6">
        <v>0.13008130081300814</v>
      </c>
      <c r="E28" s="3">
        <v>7.9470198675496692E-2</v>
      </c>
      <c r="F28" s="3">
        <v>7.3333333333333334E-2</v>
      </c>
      <c r="G28" s="6">
        <v>8.5526315789473686E-2</v>
      </c>
    </row>
    <row r="29" spans="1:7" x14ac:dyDescent="0.45">
      <c r="A29" s="61" t="s">
        <v>88</v>
      </c>
      <c r="B29" s="23">
        <v>5.2845528455284556E-2</v>
      </c>
      <c r="C29" s="3">
        <v>4.065040650406504E-2</v>
      </c>
      <c r="D29" s="6">
        <v>6.5040650406504072E-2</v>
      </c>
      <c r="E29" s="3">
        <v>8.6092715231788075E-2</v>
      </c>
      <c r="F29" s="3">
        <v>6.6666666666666666E-2</v>
      </c>
      <c r="G29" s="6">
        <v>0.10526315789473684</v>
      </c>
    </row>
    <row r="30" spans="1:7" x14ac:dyDescent="0.45">
      <c r="A30" s="61" t="s">
        <v>89</v>
      </c>
      <c r="B30" s="23">
        <v>9.3495934959349589E-2</v>
      </c>
      <c r="C30" s="3">
        <v>7.3170731707317069E-2</v>
      </c>
      <c r="D30" s="6">
        <v>0.11382113821138211</v>
      </c>
      <c r="E30" s="3">
        <v>1.6556291390728478E-2</v>
      </c>
      <c r="F30" s="3">
        <v>0</v>
      </c>
      <c r="G30" s="6">
        <v>3.2894736842105261E-2</v>
      </c>
    </row>
    <row r="31" spans="1:7" x14ac:dyDescent="0.45">
      <c r="A31" s="61" t="s">
        <v>90</v>
      </c>
      <c r="B31" s="23">
        <v>1.2195121951219513E-2</v>
      </c>
      <c r="C31" s="3">
        <v>0</v>
      </c>
      <c r="D31" s="6">
        <v>2.4390243902439025E-2</v>
      </c>
      <c r="E31" s="3">
        <v>0</v>
      </c>
      <c r="F31" s="3">
        <v>0</v>
      </c>
      <c r="G31" s="6">
        <v>0</v>
      </c>
    </row>
    <row r="32" spans="1:7" x14ac:dyDescent="0.45">
      <c r="A32" s="61" t="s">
        <v>91</v>
      </c>
      <c r="B32" s="23">
        <v>0</v>
      </c>
      <c r="C32" s="3">
        <v>0</v>
      </c>
      <c r="D32" s="6">
        <v>0</v>
      </c>
      <c r="E32" s="3">
        <v>0</v>
      </c>
      <c r="F32" s="3">
        <v>0</v>
      </c>
      <c r="G32" s="6">
        <v>0</v>
      </c>
    </row>
    <row r="33" spans="1:7" x14ac:dyDescent="0.45">
      <c r="A33" s="61" t="s">
        <v>92</v>
      </c>
      <c r="B33" s="23">
        <v>1.2195121951219513E-2</v>
      </c>
      <c r="C33" s="3">
        <v>1.6260162601626018E-2</v>
      </c>
      <c r="D33" s="6">
        <v>8.130081300813009E-3</v>
      </c>
      <c r="E33" s="3">
        <v>0</v>
      </c>
      <c r="F33" s="3">
        <v>0</v>
      </c>
      <c r="G33" s="6">
        <v>0</v>
      </c>
    </row>
    <row r="34" spans="1:7" x14ac:dyDescent="0.45">
      <c r="A34" s="61" t="s">
        <v>93</v>
      </c>
      <c r="B34" s="23">
        <v>0</v>
      </c>
      <c r="C34" s="3">
        <v>0</v>
      </c>
      <c r="D34" s="6">
        <v>0</v>
      </c>
      <c r="E34" s="3">
        <v>0</v>
      </c>
      <c r="F34" s="3">
        <v>0</v>
      </c>
      <c r="G34" s="6">
        <v>0</v>
      </c>
    </row>
    <row r="35" spans="1:7" ht="14.65" thickBot="1" x14ac:dyDescent="0.5">
      <c r="A35" s="63" t="s">
        <v>94</v>
      </c>
      <c r="B35" s="24">
        <v>0</v>
      </c>
      <c r="C35" s="8">
        <v>0</v>
      </c>
      <c r="D35" s="9">
        <v>0</v>
      </c>
      <c r="E35" s="8">
        <v>0</v>
      </c>
      <c r="F35" s="8">
        <v>0</v>
      </c>
      <c r="G35" s="9">
        <v>0</v>
      </c>
    </row>
    <row r="36" spans="1:7" x14ac:dyDescent="0.45">
      <c r="B36" s="11">
        <f t="shared" ref="B36:G36" si="0">SUM(B12:B35)</f>
        <v>1</v>
      </c>
      <c r="C36" s="11">
        <f t="shared" si="0"/>
        <v>0.99999999999999989</v>
      </c>
      <c r="D36" s="11">
        <f t="shared" si="0"/>
        <v>1</v>
      </c>
      <c r="E36" s="11">
        <f t="shared" si="0"/>
        <v>1</v>
      </c>
      <c r="F36" s="11">
        <f t="shared" si="0"/>
        <v>1</v>
      </c>
      <c r="G36" s="11">
        <f t="shared" si="0"/>
        <v>1</v>
      </c>
    </row>
  </sheetData>
  <mergeCells count="15">
    <mergeCell ref="A1:G2"/>
    <mergeCell ref="A3:G3"/>
    <mergeCell ref="A4:G4"/>
    <mergeCell ref="B8:D8"/>
    <mergeCell ref="B9:D9"/>
    <mergeCell ref="B10:D10"/>
    <mergeCell ref="E5:G5"/>
    <mergeCell ref="E6:G6"/>
    <mergeCell ref="E7:G7"/>
    <mergeCell ref="E8:G8"/>
    <mergeCell ref="E9:G9"/>
    <mergeCell ref="E10:G10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FF00"/>
  </sheetPr>
  <dimension ref="A1:D36"/>
  <sheetViews>
    <sheetView topLeftCell="A4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943</v>
      </c>
      <c r="C5" s="102"/>
      <c r="D5" s="103"/>
    </row>
    <row r="6" spans="1:4" x14ac:dyDescent="0.45">
      <c r="A6" s="61" t="s">
        <v>0</v>
      </c>
      <c r="B6" s="87" t="s">
        <v>51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27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0</v>
      </c>
      <c r="C16" s="3">
        <v>0</v>
      </c>
      <c r="D16" s="6">
        <v>0</v>
      </c>
    </row>
    <row r="17" spans="1:4" x14ac:dyDescent="0.45">
      <c r="A17" s="61" t="s">
        <v>76</v>
      </c>
      <c r="B17" s="23">
        <v>0</v>
      </c>
      <c r="C17" s="3">
        <v>0</v>
      </c>
      <c r="D17" s="6">
        <v>0</v>
      </c>
    </row>
    <row r="18" spans="1:4" x14ac:dyDescent="0.45">
      <c r="A18" s="61" t="s">
        <v>77</v>
      </c>
      <c r="B18" s="23">
        <v>1.1402508551881414E-3</v>
      </c>
      <c r="C18" s="3">
        <v>2.2607385079125848E-3</v>
      </c>
      <c r="D18" s="6">
        <v>0</v>
      </c>
    </row>
    <row r="19" spans="1:4" x14ac:dyDescent="0.45">
      <c r="A19" s="61" t="s">
        <v>78</v>
      </c>
      <c r="B19" s="23">
        <v>5.7392626377803117E-2</v>
      </c>
      <c r="C19" s="3">
        <v>9.34438583270535E-2</v>
      </c>
      <c r="D19" s="6">
        <v>2.0705521472392636E-2</v>
      </c>
    </row>
    <row r="20" spans="1:4" x14ac:dyDescent="0.45">
      <c r="A20" s="61" t="s">
        <v>79</v>
      </c>
      <c r="B20" s="23">
        <v>9.768148992778411E-2</v>
      </c>
      <c r="C20" s="3">
        <v>0.13187641296156744</v>
      </c>
      <c r="D20" s="6">
        <v>6.2883435582822084E-2</v>
      </c>
    </row>
    <row r="21" spans="1:4" x14ac:dyDescent="0.45">
      <c r="A21" s="61" t="s">
        <v>80</v>
      </c>
      <c r="B21" s="23">
        <v>8.8939566704675024E-2</v>
      </c>
      <c r="C21" s="3">
        <v>9.7965335342878671E-2</v>
      </c>
      <c r="D21" s="6">
        <v>7.9754601226993863E-2</v>
      </c>
    </row>
    <row r="22" spans="1:4" x14ac:dyDescent="0.45">
      <c r="A22" s="61" t="s">
        <v>81</v>
      </c>
      <c r="B22" s="23">
        <v>9.4640820980615742E-2</v>
      </c>
      <c r="C22" s="3">
        <v>9.7965335342878671E-2</v>
      </c>
      <c r="D22" s="6">
        <v>9.1257668711656442E-2</v>
      </c>
    </row>
    <row r="23" spans="1:4" x14ac:dyDescent="0.45">
      <c r="A23" s="61" t="s">
        <v>82</v>
      </c>
      <c r="B23" s="23">
        <v>9.8061573546180156E-2</v>
      </c>
      <c r="C23" s="3">
        <v>8.5908063300678225E-2</v>
      </c>
      <c r="D23" s="6">
        <v>0.11042944785276074</v>
      </c>
    </row>
    <row r="24" spans="1:4" x14ac:dyDescent="0.45">
      <c r="A24" s="61" t="s">
        <v>83</v>
      </c>
      <c r="B24" s="23">
        <v>9.5400988217407834E-2</v>
      </c>
      <c r="C24" s="3">
        <v>8.816880180859081E-2</v>
      </c>
      <c r="D24" s="6">
        <v>0.10276073619631902</v>
      </c>
    </row>
    <row r="25" spans="1:4" x14ac:dyDescent="0.45">
      <c r="A25" s="61" t="s">
        <v>84</v>
      </c>
      <c r="B25" s="23">
        <v>8.931965032307107E-2</v>
      </c>
      <c r="C25" s="3">
        <v>9.7965335342878671E-2</v>
      </c>
      <c r="D25" s="6">
        <v>8.052147239263803E-2</v>
      </c>
    </row>
    <row r="26" spans="1:4" x14ac:dyDescent="0.45">
      <c r="A26" s="61" t="s">
        <v>85</v>
      </c>
      <c r="B26" s="23">
        <v>8.8939566704675024E-2</v>
      </c>
      <c r="C26" s="3">
        <v>9.2690278824415981E-2</v>
      </c>
      <c r="D26" s="6">
        <v>8.5122699386503062E-2</v>
      </c>
    </row>
    <row r="27" spans="1:4" x14ac:dyDescent="0.45">
      <c r="A27" s="61" t="s">
        <v>86</v>
      </c>
      <c r="B27" s="23">
        <v>7.0315469403268716E-2</v>
      </c>
      <c r="C27" s="3">
        <v>6.4054257724189906E-2</v>
      </c>
      <c r="D27" s="6">
        <v>7.6687116564417179E-2</v>
      </c>
    </row>
    <row r="28" spans="1:4" x14ac:dyDescent="0.45">
      <c r="A28" s="61" t="s">
        <v>87</v>
      </c>
      <c r="B28" s="23">
        <v>0.10186240973014063</v>
      </c>
      <c r="C28" s="3">
        <v>9.2690278824415981E-2</v>
      </c>
      <c r="D28" s="6">
        <v>0.1111963190184049</v>
      </c>
    </row>
    <row r="29" spans="1:4" x14ac:dyDescent="0.45">
      <c r="A29" s="61" t="s">
        <v>88</v>
      </c>
      <c r="B29" s="23">
        <v>7.9437476244773847E-2</v>
      </c>
      <c r="C29" s="3">
        <v>3.6171816126601357E-2</v>
      </c>
      <c r="D29" s="6">
        <v>0.12346625766871165</v>
      </c>
    </row>
    <row r="30" spans="1:4" x14ac:dyDescent="0.45">
      <c r="A30" s="61" t="s">
        <v>89</v>
      </c>
      <c r="B30" s="23">
        <v>2.1284682630178638E-2</v>
      </c>
      <c r="C30" s="3">
        <v>9.0429540316503392E-3</v>
      </c>
      <c r="D30" s="6">
        <v>3.3742331288343558E-2</v>
      </c>
    </row>
    <row r="31" spans="1:4" x14ac:dyDescent="0.45">
      <c r="A31" s="61" t="s">
        <v>90</v>
      </c>
      <c r="B31" s="23">
        <v>9.1220068415051314E-3</v>
      </c>
      <c r="C31" s="3">
        <v>5.2750565184626974E-3</v>
      </c>
      <c r="D31" s="6">
        <v>1.303680981595092E-2</v>
      </c>
    </row>
    <row r="32" spans="1:4" x14ac:dyDescent="0.45">
      <c r="A32" s="61" t="s">
        <v>91</v>
      </c>
      <c r="B32" s="23">
        <v>6.4614215127328008E-3</v>
      </c>
      <c r="C32" s="3">
        <v>4.5214770158251696E-3</v>
      </c>
      <c r="D32" s="6">
        <v>8.4355828220858894E-3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0</v>
      </c>
      <c r="C34" s="3">
        <v>0</v>
      </c>
      <c r="D34" s="6">
        <v>0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1</v>
      </c>
      <c r="C36" s="11">
        <f>SUM(C12:C35)</f>
        <v>0.99999999999999989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3F0B-EF29-4822-A90F-3E58742E9813}">
  <sheetPr>
    <tabColor rgb="FFFFFF00"/>
  </sheetPr>
  <dimension ref="A1:J36"/>
  <sheetViews>
    <sheetView topLeftCell="A4" workbookViewId="0">
      <selection activeCell="J35" sqref="A10:J35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08">
        <v>944</v>
      </c>
      <c r="C5" s="102"/>
      <c r="D5" s="103"/>
      <c r="E5" s="101">
        <v>944</v>
      </c>
      <c r="F5" s="102"/>
      <c r="G5" s="106"/>
      <c r="H5" s="108">
        <v>944</v>
      </c>
      <c r="I5" s="102"/>
      <c r="J5" s="103"/>
    </row>
    <row r="6" spans="1:10" x14ac:dyDescent="0.45">
      <c r="A6" s="37" t="s">
        <v>0</v>
      </c>
      <c r="B6" s="99" t="s">
        <v>52</v>
      </c>
      <c r="C6" s="88"/>
      <c r="D6" s="89"/>
      <c r="E6" s="87" t="s">
        <v>52</v>
      </c>
      <c r="F6" s="88"/>
      <c r="G6" s="104"/>
      <c r="H6" s="99" t="s">
        <v>52</v>
      </c>
      <c r="I6" s="88"/>
      <c r="J6" s="89"/>
    </row>
    <row r="7" spans="1:10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104"/>
      <c r="H7" s="99" t="s">
        <v>57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60</v>
      </c>
      <c r="I8" s="88"/>
      <c r="J8" s="89"/>
    </row>
    <row r="9" spans="1:10" ht="14.65" thickBot="1" x14ac:dyDescent="0.5">
      <c r="A9" s="38" t="s">
        <v>64</v>
      </c>
      <c r="B9" s="100">
        <v>17</v>
      </c>
      <c r="C9" s="91"/>
      <c r="D9" s="92"/>
      <c r="E9" s="90">
        <v>1</v>
      </c>
      <c r="F9" s="91"/>
      <c r="G9" s="105"/>
      <c r="H9" s="100">
        <v>1</v>
      </c>
      <c r="I9" s="91"/>
      <c r="J9" s="92"/>
    </row>
    <row r="10" spans="1:10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8.0110708548619281E-3</v>
      </c>
      <c r="C12" s="3">
        <v>7.2306179269458265E-3</v>
      </c>
      <c r="D12" s="6">
        <v>8.8025094137947901E-3</v>
      </c>
      <c r="E12" s="23">
        <v>2.1708683473389355E-2</v>
      </c>
      <c r="F12" s="3">
        <v>2.097902097902098E-2</v>
      </c>
      <c r="G12" s="20">
        <v>2.244039270687237E-2</v>
      </c>
      <c r="H12" s="25">
        <v>4.1753653444676405E-3</v>
      </c>
      <c r="I12" s="3">
        <v>4.7846889952153108E-3</v>
      </c>
      <c r="J12" s="6">
        <v>3.5693039857227836E-3</v>
      </c>
    </row>
    <row r="13" spans="1:10" x14ac:dyDescent="0.45">
      <c r="A13" s="37" t="s">
        <v>72</v>
      </c>
      <c r="B13" s="25">
        <v>3.1084623889959043E-3</v>
      </c>
      <c r="C13" s="3">
        <v>3.1027938996855656E-3</v>
      </c>
      <c r="D13" s="6">
        <v>3.1158088877400606E-3</v>
      </c>
      <c r="E13" s="23">
        <v>1.6106442577030811E-2</v>
      </c>
      <c r="F13" s="3">
        <v>1.5384615384615385E-2</v>
      </c>
      <c r="G13" s="20">
        <v>1.6830294530154277E-2</v>
      </c>
      <c r="H13" s="25">
        <v>2.0876826722338203E-3</v>
      </c>
      <c r="I13" s="3">
        <v>1.7942583732057414E-3</v>
      </c>
      <c r="J13" s="6">
        <v>2.3795359904818557E-3</v>
      </c>
    </row>
    <row r="14" spans="1:10" x14ac:dyDescent="0.45">
      <c r="A14" s="37" t="s">
        <v>73</v>
      </c>
      <c r="B14" s="25">
        <v>1.4186271305484663E-3</v>
      </c>
      <c r="C14" s="3">
        <v>1.3851758480739132E-3</v>
      </c>
      <c r="D14" s="6">
        <v>1.453112665134378E-3</v>
      </c>
      <c r="E14" s="23">
        <v>1.050420168067227E-2</v>
      </c>
      <c r="F14" s="3">
        <v>1.1188811188811189E-2</v>
      </c>
      <c r="G14" s="20">
        <v>9.8176718092566617E-3</v>
      </c>
      <c r="H14" s="25">
        <v>1.7894422904861317E-3</v>
      </c>
      <c r="I14" s="3">
        <v>1.7942583732057414E-3</v>
      </c>
      <c r="J14" s="6">
        <v>1.784651992861392E-3</v>
      </c>
    </row>
    <row r="15" spans="1:10" x14ac:dyDescent="0.45">
      <c r="A15" s="37" t="s">
        <v>74</v>
      </c>
      <c r="B15" s="25">
        <v>1.8775947316082642E-3</v>
      </c>
      <c r="C15" s="3">
        <v>1.8699873948997826E-3</v>
      </c>
      <c r="D15" s="6">
        <v>1.8862520172417407E-3</v>
      </c>
      <c r="E15" s="23">
        <v>4.9019607843137254E-3</v>
      </c>
      <c r="F15" s="3">
        <v>4.1958041958041958E-3</v>
      </c>
      <c r="G15" s="20">
        <v>5.6100981767180924E-3</v>
      </c>
      <c r="H15" s="25">
        <v>1.4912019087384429E-3</v>
      </c>
      <c r="I15" s="3">
        <v>1.7942583732057414E-3</v>
      </c>
      <c r="J15" s="6">
        <v>1.1897679952409279E-3</v>
      </c>
    </row>
    <row r="16" spans="1:10" x14ac:dyDescent="0.45">
      <c r="A16" s="37" t="s">
        <v>75</v>
      </c>
      <c r="B16" s="25">
        <v>4.2211111188378385E-3</v>
      </c>
      <c r="C16" s="3">
        <v>4.3356004044713473E-3</v>
      </c>
      <c r="D16" s="6">
        <v>4.1078377264375686E-3</v>
      </c>
      <c r="E16" s="23">
        <v>2.8011204481792717E-3</v>
      </c>
      <c r="F16" s="3">
        <v>2.7972027972027972E-3</v>
      </c>
      <c r="G16" s="20">
        <v>2.8050490883590462E-3</v>
      </c>
      <c r="H16" s="25">
        <v>1.1929615269907544E-3</v>
      </c>
      <c r="I16" s="3">
        <v>1.1961722488038277E-3</v>
      </c>
      <c r="J16" s="6">
        <v>1.1897679952409279E-3</v>
      </c>
    </row>
    <row r="17" spans="1:10" x14ac:dyDescent="0.45">
      <c r="A17" s="37" t="s">
        <v>76</v>
      </c>
      <c r="B17" s="25">
        <v>1.1022176479996664E-2</v>
      </c>
      <c r="C17" s="3">
        <v>1.1677032399263087E-2</v>
      </c>
      <c r="D17" s="6">
        <v>1.0367399976247197E-2</v>
      </c>
      <c r="E17" s="23">
        <v>7.7030812324929976E-3</v>
      </c>
      <c r="F17" s="3">
        <v>6.993006993006993E-3</v>
      </c>
      <c r="G17" s="20">
        <v>8.4151472650771386E-3</v>
      </c>
      <c r="H17" s="25">
        <v>6.8595287801968396E-3</v>
      </c>
      <c r="I17" s="3">
        <v>7.7751196172248811E-3</v>
      </c>
      <c r="J17" s="6">
        <v>5.9488399762046389E-3</v>
      </c>
    </row>
    <row r="18" spans="1:10" x14ac:dyDescent="0.45">
      <c r="A18" s="37" t="s">
        <v>77</v>
      </c>
      <c r="B18" s="25">
        <v>2.7802310136925336E-2</v>
      </c>
      <c r="C18" s="3">
        <v>2.9393431496128438E-2</v>
      </c>
      <c r="D18" s="6">
        <v>2.621191692107782E-2</v>
      </c>
      <c r="E18" s="23">
        <v>1.8207282913165267E-2</v>
      </c>
      <c r="F18" s="3">
        <v>1.9580419580419582E-2</v>
      </c>
      <c r="G18" s="20">
        <v>1.6830294530154277E-2</v>
      </c>
      <c r="H18" s="25">
        <v>2.4455711303310469E-2</v>
      </c>
      <c r="I18" s="3">
        <v>2.6315789473684209E-2</v>
      </c>
      <c r="J18" s="6">
        <v>2.2605591909577633E-2</v>
      </c>
    </row>
    <row r="19" spans="1:10" x14ac:dyDescent="0.45">
      <c r="A19" s="37" t="s">
        <v>78</v>
      </c>
      <c r="B19" s="25">
        <v>5.0389079352716609E-2</v>
      </c>
      <c r="C19" s="3">
        <v>5.0628177247101516E-2</v>
      </c>
      <c r="D19" s="6">
        <v>5.0174303658630307E-2</v>
      </c>
      <c r="E19" s="23">
        <v>3.5014005602240897E-2</v>
      </c>
      <c r="F19" s="3">
        <v>3.4965034965034968E-2</v>
      </c>
      <c r="G19" s="20">
        <v>3.5063113604488078E-2</v>
      </c>
      <c r="H19" s="25">
        <v>5.0700864897107054E-2</v>
      </c>
      <c r="I19" s="3">
        <v>5.2033492822966501E-2</v>
      </c>
      <c r="J19" s="6">
        <v>4.9375371802498506E-2</v>
      </c>
    </row>
    <row r="20" spans="1:10" x14ac:dyDescent="0.45">
      <c r="A20" s="37" t="s">
        <v>79</v>
      </c>
      <c r="B20" s="25">
        <v>5.4874444544891904E-2</v>
      </c>
      <c r="C20" s="3">
        <v>5.4132672142728523E-2</v>
      </c>
      <c r="D20" s="6">
        <v>5.5651420627213732E-2</v>
      </c>
      <c r="E20" s="23">
        <v>5.3221288515406161E-2</v>
      </c>
      <c r="F20" s="3">
        <v>5.3146853146853149E-2</v>
      </c>
      <c r="G20" s="20">
        <v>5.3295932678821878E-2</v>
      </c>
      <c r="H20" s="25">
        <v>4.8911422606620937E-2</v>
      </c>
      <c r="I20" s="3">
        <v>5.0837320574162681E-2</v>
      </c>
      <c r="J20" s="6">
        <v>4.6995835812016648E-2</v>
      </c>
    </row>
    <row r="21" spans="1:10" x14ac:dyDescent="0.45">
      <c r="A21" s="37" t="s">
        <v>80</v>
      </c>
      <c r="B21" s="25">
        <v>4.8928727894799066E-2</v>
      </c>
      <c r="C21" s="3">
        <v>4.9686257670411266E-2</v>
      </c>
      <c r="D21" s="6">
        <v>4.8190245981235294E-2</v>
      </c>
      <c r="E21" s="23">
        <v>6.7927170868347334E-2</v>
      </c>
      <c r="F21" s="3">
        <v>7.1328671328671323E-2</v>
      </c>
      <c r="G21" s="20">
        <v>6.4516129032258063E-2</v>
      </c>
      <c r="H21" s="25">
        <v>5.517447062332239E-2</v>
      </c>
      <c r="I21" s="3">
        <v>5.6818181818181823E-2</v>
      </c>
      <c r="J21" s="6">
        <v>5.353955978584176E-2</v>
      </c>
    </row>
    <row r="22" spans="1:10" x14ac:dyDescent="0.45">
      <c r="A22" s="37" t="s">
        <v>81</v>
      </c>
      <c r="B22" s="25">
        <v>4.4255603229462946E-2</v>
      </c>
      <c r="C22" s="3">
        <v>4.4007036693308216E-2</v>
      </c>
      <c r="D22" s="6">
        <v>4.4529519844069831E-2</v>
      </c>
      <c r="E22" s="23">
        <v>6.1624649859943981E-2</v>
      </c>
      <c r="F22" s="3">
        <v>6.1538461538461542E-2</v>
      </c>
      <c r="G22" s="20">
        <v>6.1711079943899017E-2</v>
      </c>
      <c r="H22" s="25">
        <v>5.517447062332239E-2</v>
      </c>
      <c r="I22" s="3">
        <v>5.5023923444976065E-2</v>
      </c>
      <c r="J22" s="6">
        <v>5.5324211778703149E-2</v>
      </c>
    </row>
    <row r="23" spans="1:10" x14ac:dyDescent="0.45">
      <c r="A23" s="37" t="s">
        <v>82</v>
      </c>
      <c r="B23" s="25">
        <v>6.0583723339893328E-2</v>
      </c>
      <c r="C23" s="3">
        <v>6.118321720942474E-2</v>
      </c>
      <c r="D23" s="6">
        <v>6.0010758622616865E-2</v>
      </c>
      <c r="E23" s="23">
        <v>6.5126050420168072E-2</v>
      </c>
      <c r="F23" s="3">
        <v>6.5734265734265732E-2</v>
      </c>
      <c r="G23" s="20">
        <v>6.4516129032258063E-2</v>
      </c>
      <c r="H23" s="25">
        <v>6.5314643602743805E-2</v>
      </c>
      <c r="I23" s="3">
        <v>6.638755980861244E-2</v>
      </c>
      <c r="J23" s="6">
        <v>6.4247471743010112E-2</v>
      </c>
    </row>
    <row r="24" spans="1:10" x14ac:dyDescent="0.45">
      <c r="A24" s="37" t="s">
        <v>83</v>
      </c>
      <c r="B24" s="25">
        <v>6.6765877845077579E-2</v>
      </c>
      <c r="C24" s="3">
        <v>6.6751624118681865E-2</v>
      </c>
      <c r="D24" s="6">
        <v>6.6815238121851889E-2</v>
      </c>
      <c r="E24" s="23">
        <v>6.0224089635854343E-2</v>
      </c>
      <c r="F24" s="3">
        <v>6.1538461538461542E-2</v>
      </c>
      <c r="G24" s="20">
        <v>5.890603085553997E-2</v>
      </c>
      <c r="H24" s="25">
        <v>5.8753355204294651E-2</v>
      </c>
      <c r="I24" s="3">
        <v>5.9808612440191374E-2</v>
      </c>
      <c r="J24" s="6">
        <v>5.7703747769184993E-2</v>
      </c>
    </row>
    <row r="25" spans="1:10" x14ac:dyDescent="0.45">
      <c r="A25" s="37" t="s">
        <v>84</v>
      </c>
      <c r="B25" s="25">
        <v>6.1446026105520829E-2</v>
      </c>
      <c r="C25" s="3">
        <v>6.258224481597939E-2</v>
      </c>
      <c r="D25" s="6">
        <v>6.0332120077406196E-2</v>
      </c>
      <c r="E25" s="23">
        <v>5.6722689075630252E-2</v>
      </c>
      <c r="F25" s="3">
        <v>5.4545454545454543E-2</v>
      </c>
      <c r="G25" s="20">
        <v>5.890603085553997E-2</v>
      </c>
      <c r="H25" s="25">
        <v>6.8297047420220705E-2</v>
      </c>
      <c r="I25" s="3">
        <v>6.638755980861244E-2</v>
      </c>
      <c r="J25" s="6">
        <v>7.0196311719214755E-2</v>
      </c>
    </row>
    <row r="26" spans="1:10" x14ac:dyDescent="0.45">
      <c r="A26" s="37" t="s">
        <v>85</v>
      </c>
      <c r="B26" s="25">
        <v>6.2113615343425993E-2</v>
      </c>
      <c r="C26" s="3">
        <v>6.3288684498497089E-2</v>
      </c>
      <c r="D26" s="6">
        <v>6.0960870749820109E-2</v>
      </c>
      <c r="E26" s="23">
        <v>6.0924369747899158E-2</v>
      </c>
      <c r="F26" s="3">
        <v>5.8741258741258739E-2</v>
      </c>
      <c r="G26" s="20">
        <v>6.311360448807854E-2</v>
      </c>
      <c r="H26" s="25">
        <v>7.1875932001192966E-2</v>
      </c>
      <c r="I26" s="3">
        <v>7.2966507177033485E-2</v>
      </c>
      <c r="J26" s="6">
        <v>7.0791195716835204E-2</v>
      </c>
    </row>
    <row r="27" spans="1:10" x14ac:dyDescent="0.45">
      <c r="A27" s="37" t="s">
        <v>86</v>
      </c>
      <c r="B27" s="25">
        <v>7.0966126800230872E-2</v>
      </c>
      <c r="C27" s="3">
        <v>7.2846397850207092E-2</v>
      </c>
      <c r="D27" s="6">
        <v>6.9106685016871477E-2</v>
      </c>
      <c r="E27" s="23">
        <v>6.3725490196078427E-2</v>
      </c>
      <c r="F27" s="3">
        <v>6.433566433566433E-2</v>
      </c>
      <c r="G27" s="20">
        <v>6.311360448807854E-2</v>
      </c>
      <c r="H27" s="25">
        <v>7.7840739636146725E-2</v>
      </c>
      <c r="I27" s="3">
        <v>7.5358851674641139E-2</v>
      </c>
      <c r="J27" s="6">
        <v>8.0309339678762651E-2</v>
      </c>
    </row>
    <row r="28" spans="1:10" x14ac:dyDescent="0.45">
      <c r="A28" s="37" t="s">
        <v>87</v>
      </c>
      <c r="B28" s="25">
        <v>7.3052343168684503E-2</v>
      </c>
      <c r="C28" s="3">
        <v>7.3220395329187046E-2</v>
      </c>
      <c r="D28" s="6">
        <v>7.2921105762849228E-2</v>
      </c>
      <c r="E28" s="23">
        <v>7.212885154061624E-2</v>
      </c>
      <c r="F28" s="3">
        <v>7.5524475524475526E-2</v>
      </c>
      <c r="G28" s="20">
        <v>6.8723702664796632E-2</v>
      </c>
      <c r="H28" s="25">
        <v>7.9033701163137487E-2</v>
      </c>
      <c r="I28" s="3">
        <v>8.1339712918660281E-2</v>
      </c>
      <c r="J28" s="6">
        <v>7.6740035693039846E-2</v>
      </c>
    </row>
    <row r="29" spans="1:10" x14ac:dyDescent="0.45">
      <c r="A29" s="37" t="s">
        <v>88</v>
      </c>
      <c r="B29" s="25">
        <v>7.4895167627485215E-2</v>
      </c>
      <c r="C29" s="3">
        <v>7.3912983253223999E-2</v>
      </c>
      <c r="D29" s="6">
        <v>7.5925136753271255E-2</v>
      </c>
      <c r="E29" s="23">
        <v>7.633053221288516E-2</v>
      </c>
      <c r="F29" s="3">
        <v>7.5524475524475526E-2</v>
      </c>
      <c r="G29" s="20">
        <v>7.7138849929873771E-2</v>
      </c>
      <c r="H29" s="25">
        <v>0.10020876826722337</v>
      </c>
      <c r="I29" s="3">
        <v>9.8684210526315777E-2</v>
      </c>
      <c r="J29" s="6">
        <v>0.10172516359309934</v>
      </c>
    </row>
    <row r="30" spans="1:10" x14ac:dyDescent="0.45">
      <c r="A30" s="37" t="s">
        <v>89</v>
      </c>
      <c r="B30" s="25">
        <v>7.6661497486109273E-2</v>
      </c>
      <c r="C30" s="3">
        <v>7.7265108805562865E-2</v>
      </c>
      <c r="D30" s="6">
        <v>7.609280359924829E-2</v>
      </c>
      <c r="E30" s="23">
        <v>5.1120448179271707E-2</v>
      </c>
      <c r="F30" s="3">
        <v>4.8951048951048952E-2</v>
      </c>
      <c r="G30" s="20">
        <v>5.3295932678821878E-2</v>
      </c>
      <c r="H30" s="25">
        <v>6.7700566656725303E-2</v>
      </c>
      <c r="I30" s="3">
        <v>6.5789473684210523E-2</v>
      </c>
      <c r="J30" s="6">
        <v>6.9601427721594278E-2</v>
      </c>
    </row>
    <row r="31" spans="1:10" x14ac:dyDescent="0.45">
      <c r="A31" s="37" t="s">
        <v>90</v>
      </c>
      <c r="B31" s="25">
        <v>6.0736712540246596E-2</v>
      </c>
      <c r="C31" s="3">
        <v>5.9396340365409389E-2</v>
      </c>
      <c r="D31" s="6">
        <v>6.2120566434494665E-2</v>
      </c>
      <c r="E31" s="23">
        <v>4.6218487394957986E-2</v>
      </c>
      <c r="F31" s="3">
        <v>4.4755244755244755E-2</v>
      </c>
      <c r="G31" s="20">
        <v>4.7685834502103785E-2</v>
      </c>
      <c r="H31" s="25">
        <v>5.0700864897107061E-2</v>
      </c>
      <c r="I31" s="3">
        <v>4.844497607655502E-2</v>
      </c>
      <c r="J31" s="6">
        <v>5.2944675788221297E-2</v>
      </c>
    </row>
    <row r="32" spans="1:10" x14ac:dyDescent="0.45">
      <c r="A32" s="37" t="s">
        <v>91</v>
      </c>
      <c r="B32" s="25">
        <v>5.5194331054721456E-2</v>
      </c>
      <c r="C32" s="3">
        <v>5.3135345532115311E-2</v>
      </c>
      <c r="D32" s="6">
        <v>5.730014461265466E-2</v>
      </c>
      <c r="E32" s="23">
        <v>4.5518207282913163E-2</v>
      </c>
      <c r="F32" s="3">
        <v>4.8951048951048952E-2</v>
      </c>
      <c r="G32" s="20">
        <v>4.2075736325385693E-2</v>
      </c>
      <c r="H32" s="25">
        <v>4.4139576498657913E-2</v>
      </c>
      <c r="I32" s="3">
        <v>4.3062200956937795E-2</v>
      </c>
      <c r="J32" s="6">
        <v>4.5211183819155266E-2</v>
      </c>
    </row>
    <row r="33" spans="1:10" x14ac:dyDescent="0.45">
      <c r="A33" s="37" t="s">
        <v>92</v>
      </c>
      <c r="B33" s="25">
        <v>3.9805008310095202E-2</v>
      </c>
      <c r="C33" s="3">
        <v>3.8563295610377739E-2</v>
      </c>
      <c r="D33" s="6">
        <v>4.1078377264375687E-2</v>
      </c>
      <c r="E33" s="23">
        <v>4.4117647058823532E-2</v>
      </c>
      <c r="F33" s="3">
        <v>4.0559440559440559E-2</v>
      </c>
      <c r="G33" s="20">
        <v>4.7685834502103785E-2</v>
      </c>
      <c r="H33" s="25">
        <v>3.3701163137488811E-2</v>
      </c>
      <c r="I33" s="3">
        <v>3.3492822966507178E-2</v>
      </c>
      <c r="J33" s="6">
        <v>3.3908387864366445E-2</v>
      </c>
    </row>
    <row r="34" spans="1:10" x14ac:dyDescent="0.45">
      <c r="A34" s="37" t="s">
        <v>93</v>
      </c>
      <c r="B34" s="25">
        <v>2.7113858735335641E-2</v>
      </c>
      <c r="C34" s="3">
        <v>2.6636931558461349E-2</v>
      </c>
      <c r="D34" s="6">
        <v>2.7609140637553181E-2</v>
      </c>
      <c r="E34" s="23">
        <v>3.2913165266106444E-2</v>
      </c>
      <c r="F34" s="3">
        <v>3.2167832167832165E-2</v>
      </c>
      <c r="G34" s="20">
        <v>3.3660589060308554E-2</v>
      </c>
      <c r="H34" s="25">
        <v>1.9385624813599761E-2</v>
      </c>
      <c r="I34" s="3">
        <v>1.7942583732057413E-2</v>
      </c>
      <c r="J34" s="6">
        <v>2.0820939916716241E-2</v>
      </c>
    </row>
    <row r="35" spans="1:10" ht="14.65" thickBot="1" x14ac:dyDescent="0.5">
      <c r="A35" s="38" t="s">
        <v>94</v>
      </c>
      <c r="B35" s="26">
        <v>1.4756503779528656E-2</v>
      </c>
      <c r="C35" s="8">
        <v>1.4017979582508E-2</v>
      </c>
      <c r="D35" s="9">
        <v>1.5509183252876535E-2</v>
      </c>
      <c r="E35" s="24">
        <v>2.5210084033613446E-2</v>
      </c>
      <c r="F35" s="8">
        <v>2.6573426573426574E-2</v>
      </c>
      <c r="G35" s="21">
        <v>2.3842917251051893E-2</v>
      </c>
      <c r="H35" s="26">
        <v>1.1034894124664478E-2</v>
      </c>
      <c r="I35" s="8">
        <v>1.0167464114832533E-2</v>
      </c>
      <c r="J35" s="9">
        <v>1.1897679952409279E-2</v>
      </c>
    </row>
    <row r="36" spans="1:10" x14ac:dyDescent="0.45">
      <c r="B36" s="11">
        <f t="shared" ref="B36:J36" si="0">SUM(B12:B35)</f>
        <v>0.99999999999999989</v>
      </c>
      <c r="C36" s="11">
        <f t="shared" si="0"/>
        <v>1.0002493316526535</v>
      </c>
      <c r="D36" s="11">
        <f t="shared" si="0"/>
        <v>1.0002724586247127</v>
      </c>
      <c r="E36" s="11">
        <f t="shared" si="0"/>
        <v>1</v>
      </c>
      <c r="F36" s="11">
        <f t="shared" si="0"/>
        <v>0.99999999999999989</v>
      </c>
      <c r="G36" s="11">
        <f t="shared" si="0"/>
        <v>1</v>
      </c>
      <c r="H36" s="11">
        <f t="shared" si="0"/>
        <v>0.99999999999999989</v>
      </c>
      <c r="I36" s="11">
        <f t="shared" si="0"/>
        <v>0.99999999999999989</v>
      </c>
      <c r="J36" s="11">
        <f t="shared" si="0"/>
        <v>1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FF00"/>
  </sheetPr>
  <dimension ref="A1:G36"/>
  <sheetViews>
    <sheetView topLeftCell="A7" workbookViewId="0">
      <selection activeCell="G35" sqref="A10:G35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4.5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4.55" customHeight="1" x14ac:dyDescent="0.45">
      <c r="A2" s="96"/>
      <c r="B2" s="97"/>
      <c r="C2" s="97"/>
      <c r="D2" s="97"/>
      <c r="E2" s="97"/>
      <c r="F2" s="97"/>
      <c r="G2" s="98"/>
    </row>
    <row r="3" spans="1:7" ht="14.65" thickBot="1" x14ac:dyDescent="0.5">
      <c r="A3" s="100" t="s">
        <v>157</v>
      </c>
      <c r="B3" s="91"/>
      <c r="C3" s="91"/>
      <c r="D3" s="91"/>
      <c r="E3" s="91"/>
      <c r="F3" s="91"/>
      <c r="G3" s="92"/>
    </row>
    <row r="4" spans="1:7" x14ac:dyDescent="0.45">
      <c r="A4" s="36" t="s">
        <v>68</v>
      </c>
      <c r="B4" s="108">
        <v>945</v>
      </c>
      <c r="C4" s="102"/>
      <c r="D4" s="103"/>
      <c r="E4" s="101">
        <v>945</v>
      </c>
      <c r="F4" s="102"/>
      <c r="G4" s="103"/>
    </row>
    <row r="5" spans="1:7" x14ac:dyDescent="0.45">
      <c r="A5" s="37" t="s">
        <v>0</v>
      </c>
      <c r="B5" s="99" t="s">
        <v>97</v>
      </c>
      <c r="C5" s="88"/>
      <c r="D5" s="89"/>
      <c r="E5" s="87" t="s">
        <v>97</v>
      </c>
      <c r="F5" s="88"/>
      <c r="G5" s="89"/>
    </row>
    <row r="6" spans="1:7" x14ac:dyDescent="0.45">
      <c r="A6" s="37" t="s">
        <v>98</v>
      </c>
      <c r="B6" s="99" t="s">
        <v>100</v>
      </c>
      <c r="C6" s="88"/>
      <c r="D6" s="89"/>
      <c r="E6" s="87" t="s">
        <v>99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38</v>
      </c>
      <c r="C9" s="91"/>
      <c r="D9" s="92"/>
      <c r="E9" s="90">
        <v>6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43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>
        <v>9.0046499937162239E-3</v>
      </c>
      <c r="C12" s="3">
        <v>8.692315917253177E-3</v>
      </c>
      <c r="D12" s="6">
        <v>9.3164582391642818E-3</v>
      </c>
      <c r="E12" s="23">
        <v>1.2180366217633298E-2</v>
      </c>
      <c r="F12" s="3">
        <v>1.1678655136183626E-2</v>
      </c>
      <c r="G12" s="6">
        <v>1.2680138475163031E-2</v>
      </c>
    </row>
    <row r="13" spans="1:7" x14ac:dyDescent="0.45">
      <c r="A13" s="37" t="s">
        <v>72</v>
      </c>
      <c r="B13" s="25">
        <v>5.2406685936910898E-3</v>
      </c>
      <c r="C13" s="3">
        <v>5.1449453113698264E-3</v>
      </c>
      <c r="D13" s="6">
        <v>5.3362462960172769E-3</v>
      </c>
      <c r="E13" s="23">
        <v>7.9656368476244254E-3</v>
      </c>
      <c r="F13" s="3">
        <v>7.3951345672027807E-3</v>
      </c>
      <c r="G13" s="6">
        <v>8.5339344658240078E-3</v>
      </c>
    </row>
    <row r="14" spans="1:7" x14ac:dyDescent="0.45">
      <c r="A14" s="37" t="s">
        <v>73</v>
      </c>
      <c r="B14" s="25">
        <v>4.5557370868417749E-3</v>
      </c>
      <c r="C14" s="3">
        <v>4.4405029215490183E-3</v>
      </c>
      <c r="D14" s="6">
        <v>4.6707849932198283E-3</v>
      </c>
      <c r="E14" s="23">
        <v>6.4128418165685245E-3</v>
      </c>
      <c r="F14" s="3">
        <v>6.5061019962822271E-3</v>
      </c>
      <c r="G14" s="6">
        <v>6.3199420336526851E-3</v>
      </c>
    </row>
    <row r="15" spans="1:7" x14ac:dyDescent="0.45">
      <c r="A15" s="37" t="s">
        <v>74</v>
      </c>
      <c r="B15" s="25">
        <v>5.3914792007037828E-3</v>
      </c>
      <c r="C15" s="3">
        <v>4.9939933706939386E-3</v>
      </c>
      <c r="D15" s="6">
        <v>5.7882577469740345E-3</v>
      </c>
      <c r="E15" s="23">
        <v>7.5421472937000885E-3</v>
      </c>
      <c r="F15" s="3">
        <v>7.7992402812575769E-3</v>
      </c>
      <c r="G15" s="6">
        <v>7.2860478222365353E-3</v>
      </c>
    </row>
    <row r="16" spans="1:7" x14ac:dyDescent="0.45">
      <c r="A16" s="37" t="s">
        <v>75</v>
      </c>
      <c r="B16" s="25">
        <v>1.0424783209752419E-2</v>
      </c>
      <c r="C16" s="3">
        <v>9.8999314426602772E-3</v>
      </c>
      <c r="D16" s="6">
        <v>1.0948721812063683E-2</v>
      </c>
      <c r="E16" s="23">
        <v>1.5265790110510607E-2</v>
      </c>
      <c r="F16" s="3">
        <v>1.5840943990948032E-2</v>
      </c>
      <c r="G16" s="6">
        <v>1.4692858868046051E-2</v>
      </c>
    </row>
    <row r="17" spans="1:7" x14ac:dyDescent="0.45">
      <c r="A17" s="37" t="s">
        <v>76</v>
      </c>
      <c r="B17" s="25">
        <v>2.2778685434208874E-2</v>
      </c>
      <c r="C17" s="3">
        <v>2.3133384908579732E-2</v>
      </c>
      <c r="D17" s="6">
        <v>2.2424790316910252E-2</v>
      </c>
      <c r="E17" s="23">
        <v>3.0874405098007582E-2</v>
      </c>
      <c r="F17" s="3">
        <v>3.1520245696274145E-2</v>
      </c>
      <c r="G17" s="6">
        <v>3.023106030110297E-2</v>
      </c>
    </row>
    <row r="18" spans="1:7" x14ac:dyDescent="0.45">
      <c r="A18" s="37" t="s">
        <v>77</v>
      </c>
      <c r="B18" s="25">
        <v>4.6192032172929498E-2</v>
      </c>
      <c r="C18" s="3">
        <v>4.6946053550200956E-2</v>
      </c>
      <c r="D18" s="6">
        <v>4.5439706694791825E-2</v>
      </c>
      <c r="E18" s="23">
        <v>4.6684681777849478E-2</v>
      </c>
      <c r="F18" s="3">
        <v>4.7684474258466017E-2</v>
      </c>
      <c r="G18" s="6">
        <v>4.568875291844457E-2</v>
      </c>
    </row>
    <row r="19" spans="1:7" x14ac:dyDescent="0.45">
      <c r="A19" s="37" t="s">
        <v>78</v>
      </c>
      <c r="B19" s="25">
        <v>6.1700389594068115E-2</v>
      </c>
      <c r="C19" s="3">
        <v>6.1902875005503455E-2</v>
      </c>
      <c r="D19" s="6">
        <v>6.1498669077394402E-2</v>
      </c>
      <c r="E19" s="23">
        <v>5.7917238041461643E-2</v>
      </c>
      <c r="F19" s="3">
        <v>5.8393275680918129E-2</v>
      </c>
      <c r="G19" s="6">
        <v>5.7443040012881412E-2</v>
      </c>
    </row>
    <row r="20" spans="1:7" x14ac:dyDescent="0.45">
      <c r="A20" s="37" t="s">
        <v>79</v>
      </c>
      <c r="B20" s="25">
        <v>5.864019102676888E-2</v>
      </c>
      <c r="C20" s="3">
        <v>5.8066179846657989E-2</v>
      </c>
      <c r="D20" s="6">
        <v>5.921350007533524E-2</v>
      </c>
      <c r="E20" s="23">
        <v>6.4229249011857711E-2</v>
      </c>
      <c r="F20" s="3">
        <v>6.4535682534551039E-2</v>
      </c>
      <c r="G20" s="6">
        <v>6.3923999677964735E-2</v>
      </c>
    </row>
    <row r="21" spans="1:7" x14ac:dyDescent="0.45">
      <c r="A21" s="37" t="s">
        <v>80</v>
      </c>
      <c r="B21" s="25">
        <v>5.0464999371622472E-2</v>
      </c>
      <c r="C21" s="3">
        <v>5.0153782289563562E-2</v>
      </c>
      <c r="D21" s="6">
        <v>5.0775952990809101E-2</v>
      </c>
      <c r="E21" s="23">
        <v>5.533596837944664E-2</v>
      </c>
      <c r="F21" s="3">
        <v>5.4877555968641398E-2</v>
      </c>
      <c r="G21" s="6">
        <v>5.5792609290717332E-2</v>
      </c>
    </row>
    <row r="22" spans="1:7" x14ac:dyDescent="0.45">
      <c r="A22" s="37" t="s">
        <v>81</v>
      </c>
      <c r="B22" s="25">
        <v>5.1552092497172304E-2</v>
      </c>
      <c r="C22" s="3">
        <v>5.157524639759483E-2</v>
      </c>
      <c r="D22" s="6">
        <v>5.1529305409070365E-2</v>
      </c>
      <c r="E22" s="23">
        <v>5.1000241994030811E-2</v>
      </c>
      <c r="F22" s="3">
        <v>5.1321425684959183E-2</v>
      </c>
      <c r="G22" s="6">
        <v>5.0680299492794463E-2</v>
      </c>
    </row>
    <row r="23" spans="1:7" x14ac:dyDescent="0.45">
      <c r="A23" s="37" t="s">
        <v>82</v>
      </c>
      <c r="B23" s="25">
        <v>5.280884755561141E-2</v>
      </c>
      <c r="C23" s="3">
        <v>5.3374090357315822E-2</v>
      </c>
      <c r="D23" s="6">
        <v>5.2244990206418561E-2</v>
      </c>
      <c r="E23" s="23">
        <v>5.7776074856820202E-2</v>
      </c>
      <c r="F23" s="3">
        <v>5.8150812252485251E-2</v>
      </c>
      <c r="G23" s="6">
        <v>5.7402785605023751E-2</v>
      </c>
    </row>
    <row r="24" spans="1:7" x14ac:dyDescent="0.45">
      <c r="A24" s="37" t="s">
        <v>83</v>
      </c>
      <c r="B24" s="25">
        <v>5.7565665451803444E-2</v>
      </c>
      <c r="C24" s="3">
        <v>5.7575586039461356E-2</v>
      </c>
      <c r="D24" s="6">
        <v>5.7556124755160462E-2</v>
      </c>
      <c r="E24" s="23">
        <v>6.4067919657981767E-2</v>
      </c>
      <c r="F24" s="3">
        <v>6.4010345106279801E-2</v>
      </c>
      <c r="G24" s="6">
        <v>6.4125271717253032E-2</v>
      </c>
    </row>
    <row r="25" spans="1:7" x14ac:dyDescent="0.45">
      <c r="A25" s="37" t="s">
        <v>84</v>
      </c>
      <c r="B25" s="25">
        <v>5.3682292321226593E-2</v>
      </c>
      <c r="C25" s="3">
        <v>5.4003056776798689E-2</v>
      </c>
      <c r="D25" s="6">
        <v>5.3362462960172767E-2</v>
      </c>
      <c r="E25" s="23">
        <v>6.1345486811325324E-2</v>
      </c>
      <c r="F25" s="3">
        <v>6.2595975107088017E-2</v>
      </c>
      <c r="G25" s="6">
        <v>6.0099830931486999E-2</v>
      </c>
    </row>
    <row r="26" spans="1:7" x14ac:dyDescent="0.45">
      <c r="A26" s="37" t="s">
        <v>85</v>
      </c>
      <c r="B26" s="25">
        <v>5.9438230488877718E-2</v>
      </c>
      <c r="C26" s="3">
        <v>6.0607204181368758E-2</v>
      </c>
      <c r="D26" s="6">
        <v>5.8271809552508665E-2</v>
      </c>
      <c r="E26" s="23">
        <v>6.1446317657497779E-2</v>
      </c>
      <c r="F26" s="3">
        <v>6.0615857108219512E-2</v>
      </c>
      <c r="G26" s="6">
        <v>6.2273568955800662E-2</v>
      </c>
    </row>
    <row r="27" spans="1:7" x14ac:dyDescent="0.45">
      <c r="A27" s="37" t="s">
        <v>86</v>
      </c>
      <c r="B27" s="25">
        <v>6.4578358677893674E-2</v>
      </c>
      <c r="C27" s="3">
        <v>6.4884175833852226E-2</v>
      </c>
      <c r="D27" s="6">
        <v>6.4273517151323387E-2</v>
      </c>
      <c r="E27" s="23">
        <v>6.6729853996934749E-2</v>
      </c>
      <c r="F27" s="3">
        <v>6.663703224763598E-2</v>
      </c>
      <c r="G27" s="6">
        <v>6.6822317043716287E-2</v>
      </c>
    </row>
    <row r="28" spans="1:7" x14ac:dyDescent="0.45">
      <c r="A28" s="37" t="s">
        <v>87</v>
      </c>
      <c r="B28" s="25">
        <v>7.1402538645218047E-2</v>
      </c>
      <c r="C28" s="3">
        <v>7.2305979583750027E-2</v>
      </c>
      <c r="D28" s="6">
        <v>7.0501230475616489E-2</v>
      </c>
      <c r="E28" s="23">
        <v>6.3906590304105837E-2</v>
      </c>
      <c r="F28" s="3">
        <v>6.3161723106764725E-2</v>
      </c>
      <c r="G28" s="6">
        <v>6.464857901940263E-2</v>
      </c>
    </row>
    <row r="29" spans="1:7" x14ac:dyDescent="0.45">
      <c r="A29" s="37" t="s">
        <v>88</v>
      </c>
      <c r="B29" s="25">
        <v>6.9410581877592054E-2</v>
      </c>
      <c r="C29" s="3">
        <v>6.9513368681246107E-2</v>
      </c>
      <c r="D29" s="6">
        <v>6.9308422480036158E-2</v>
      </c>
      <c r="E29" s="23">
        <v>6.7798660966362834E-2</v>
      </c>
      <c r="F29" s="3">
        <v>6.7445243675745573E-2</v>
      </c>
      <c r="G29" s="6">
        <v>6.8150712503019087E-2</v>
      </c>
    </row>
    <row r="30" spans="1:7" x14ac:dyDescent="0.45">
      <c r="A30" s="37" t="s">
        <v>89</v>
      </c>
      <c r="B30" s="25">
        <v>6.5125047128314698E-2</v>
      </c>
      <c r="C30" s="3">
        <v>6.4695485908007375E-2</v>
      </c>
      <c r="D30" s="6">
        <v>6.5554216262367529E-2</v>
      </c>
      <c r="E30" s="23">
        <v>5.6404775348874725E-2</v>
      </c>
      <c r="F30" s="3">
        <v>5.576658853956195E-2</v>
      </c>
      <c r="G30" s="6">
        <v>5.7040495934304804E-2</v>
      </c>
    </row>
    <row r="31" spans="1:7" x14ac:dyDescent="0.45">
      <c r="A31" s="37" t="s">
        <v>90</v>
      </c>
      <c r="B31" s="25">
        <v>5.2884252859117756E-2</v>
      </c>
      <c r="C31" s="3">
        <v>5.2732544609443301E-2</v>
      </c>
      <c r="D31" s="6">
        <v>5.3036010245592888E-2</v>
      </c>
      <c r="E31" s="23">
        <v>4.0957489715253689E-2</v>
      </c>
      <c r="F31" s="3">
        <v>4.0087286834235833E-2</v>
      </c>
      <c r="G31" s="6">
        <v>4.1824329764109172E-2</v>
      </c>
    </row>
    <row r="32" spans="1:7" x14ac:dyDescent="0.45">
      <c r="A32" s="37" t="s">
        <v>91</v>
      </c>
      <c r="B32" s="25">
        <v>4.3810481337187381E-2</v>
      </c>
      <c r="C32" s="3">
        <v>4.2983565107458911E-2</v>
      </c>
      <c r="D32" s="6">
        <v>4.463613078197981E-2</v>
      </c>
      <c r="E32" s="23">
        <v>3.4927805114140516E-2</v>
      </c>
      <c r="F32" s="3">
        <v>3.4793501980117998E-2</v>
      </c>
      <c r="G32" s="6">
        <v>3.5061589244022223E-2</v>
      </c>
    </row>
    <row r="33" spans="1:7" x14ac:dyDescent="0.45">
      <c r="A33" s="37" t="s">
        <v>92</v>
      </c>
      <c r="B33" s="25">
        <v>3.7206233505089857E-2</v>
      </c>
      <c r="C33" s="3">
        <v>3.7109018749488965E-2</v>
      </c>
      <c r="D33" s="6">
        <v>3.7303500577570189E-2</v>
      </c>
      <c r="E33" s="23">
        <v>2.8777123497620391E-2</v>
      </c>
      <c r="F33" s="3">
        <v>2.9257253697567282E-2</v>
      </c>
      <c r="G33" s="6">
        <v>2.8298848723935271E-2</v>
      </c>
    </row>
    <row r="34" spans="1:7" x14ac:dyDescent="0.45">
      <c r="A34" s="37" t="s">
        <v>93</v>
      </c>
      <c r="B34" s="25">
        <v>2.7522935779816515E-2</v>
      </c>
      <c r="C34" s="3">
        <v>2.7095873351321773E-2</v>
      </c>
      <c r="D34" s="6">
        <v>2.7949374717492842E-2</v>
      </c>
      <c r="E34" s="23">
        <v>2.1698798096313626E-2</v>
      </c>
      <c r="F34" s="3">
        <v>2.1498423987715187E-2</v>
      </c>
      <c r="G34" s="6">
        <v>2.1898397874567266E-2</v>
      </c>
    </row>
    <row r="35" spans="1:7" ht="14.65" thickBot="1" x14ac:dyDescent="0.5">
      <c r="A35" s="38" t="s">
        <v>94</v>
      </c>
      <c r="B35" s="26">
        <v>1.8618826190775418E-2</v>
      </c>
      <c r="C35" s="8">
        <v>1.8177129523054763E-2</v>
      </c>
      <c r="D35" s="9">
        <v>1.9059816182009946E-2</v>
      </c>
      <c r="E35" s="24">
        <v>1.8754537388077759E-2</v>
      </c>
      <c r="F35" s="8">
        <v>1.8427220560898731E-2</v>
      </c>
      <c r="G35" s="9">
        <v>1.9080589324531036E-2</v>
      </c>
    </row>
    <row r="36" spans="1:7" x14ac:dyDescent="0.45">
      <c r="B36" s="11">
        <f t="shared" ref="B36:G36" si="0">SUM(B12:B35)</f>
        <v>1</v>
      </c>
      <c r="C36" s="11">
        <f t="shared" si="0"/>
        <v>1.0000062896641948</v>
      </c>
      <c r="D36" s="11">
        <f t="shared" si="0"/>
        <v>0.99999999999999989</v>
      </c>
      <c r="E36" s="11">
        <f t="shared" si="0"/>
        <v>1.0000000000000002</v>
      </c>
      <c r="F36" s="11">
        <f t="shared" si="0"/>
        <v>0.99999999999999978</v>
      </c>
      <c r="G36" s="11">
        <f t="shared" si="0"/>
        <v>1</v>
      </c>
    </row>
  </sheetData>
  <mergeCells count="16">
    <mergeCell ref="A1:G2"/>
    <mergeCell ref="A3:G3"/>
    <mergeCell ref="E10:G10"/>
    <mergeCell ref="E4:G4"/>
    <mergeCell ref="E5:G5"/>
    <mergeCell ref="E6:G6"/>
    <mergeCell ref="E7:G7"/>
    <mergeCell ref="E8:G8"/>
    <mergeCell ref="E9:G9"/>
    <mergeCell ref="B7:D7"/>
    <mergeCell ref="B8:D8"/>
    <mergeCell ref="B9:D9"/>
    <mergeCell ref="B10:D10"/>
    <mergeCell ref="B4:D4"/>
    <mergeCell ref="B5:D5"/>
    <mergeCell ref="B6:D6"/>
  </mergeCells>
  <pageMargins left="0.7" right="0.7" top="0.75" bottom="0.75" header="0.3" footer="0.3"/>
  <pageSetup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7DDA-E6E2-4E4E-9975-3E50523B313C}">
  <sheetPr>
    <tabColor rgb="FFFFFF00"/>
  </sheetPr>
  <dimension ref="A1:G36"/>
  <sheetViews>
    <sheetView topLeftCell="A5" workbookViewId="0">
      <selection activeCell="G35" sqref="A10:G35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4.5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4.55" customHeight="1" x14ac:dyDescent="0.45">
      <c r="A2" s="96"/>
      <c r="B2" s="97"/>
      <c r="C2" s="97"/>
      <c r="D2" s="97"/>
      <c r="E2" s="97"/>
      <c r="F2" s="97"/>
      <c r="G2" s="98"/>
    </row>
    <row r="3" spans="1:7" x14ac:dyDescent="0.45">
      <c r="A3" s="99" t="s">
        <v>157</v>
      </c>
      <c r="B3" s="88"/>
      <c r="C3" s="88"/>
      <c r="D3" s="88"/>
      <c r="E3" s="88"/>
      <c r="F3" s="88"/>
      <c r="G3" s="89"/>
    </row>
    <row r="4" spans="1:7" ht="14.65" thickBot="1" x14ac:dyDescent="0.5">
      <c r="A4" s="100"/>
      <c r="B4" s="91"/>
      <c r="C4" s="91"/>
      <c r="D4" s="91"/>
      <c r="E4" s="91"/>
      <c r="F4" s="91"/>
      <c r="G4" s="92"/>
    </row>
    <row r="5" spans="1:7" x14ac:dyDescent="0.45">
      <c r="A5" s="59" t="s">
        <v>68</v>
      </c>
      <c r="B5" s="137">
        <v>948</v>
      </c>
      <c r="C5" s="85"/>
      <c r="D5" s="86"/>
      <c r="E5" s="136">
        <v>948</v>
      </c>
      <c r="F5" s="85"/>
      <c r="G5" s="86"/>
    </row>
    <row r="6" spans="1:7" x14ac:dyDescent="0.45">
      <c r="A6" s="37" t="s">
        <v>0</v>
      </c>
      <c r="B6" s="99" t="s">
        <v>195</v>
      </c>
      <c r="C6" s="88"/>
      <c r="D6" s="89"/>
      <c r="E6" s="99" t="s">
        <v>195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89"/>
    </row>
    <row r="9" spans="1:7" ht="14.65" thickBot="1" x14ac:dyDescent="0.5">
      <c r="A9" s="38" t="s">
        <v>64</v>
      </c>
      <c r="B9" s="100">
        <v>11</v>
      </c>
      <c r="C9" s="91"/>
      <c r="D9" s="92"/>
      <c r="E9" s="90">
        <v>11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43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/>
      <c r="C12" s="3"/>
      <c r="D12" s="6"/>
      <c r="E12" s="23"/>
      <c r="F12" s="3"/>
      <c r="G12" s="6"/>
    </row>
    <row r="13" spans="1:7" x14ac:dyDescent="0.45">
      <c r="A13" s="37" t="s">
        <v>72</v>
      </c>
      <c r="B13" s="25"/>
      <c r="C13" s="3"/>
      <c r="D13" s="6"/>
      <c r="E13" s="23"/>
      <c r="F13" s="3"/>
      <c r="G13" s="6"/>
    </row>
    <row r="14" spans="1:7" x14ac:dyDescent="0.45">
      <c r="A14" s="37" t="s">
        <v>73</v>
      </c>
      <c r="B14" s="25"/>
      <c r="C14" s="3"/>
      <c r="D14" s="6"/>
      <c r="E14" s="23"/>
      <c r="F14" s="3"/>
      <c r="G14" s="6"/>
    </row>
    <row r="15" spans="1:7" x14ac:dyDescent="0.45">
      <c r="A15" s="37" t="s">
        <v>74</v>
      </c>
      <c r="B15" s="25"/>
      <c r="C15" s="3"/>
      <c r="D15" s="6"/>
      <c r="E15" s="23"/>
      <c r="F15" s="3"/>
      <c r="G15" s="6"/>
    </row>
    <row r="16" spans="1:7" x14ac:dyDescent="0.45">
      <c r="A16" s="37" t="s">
        <v>75</v>
      </c>
      <c r="B16" s="25">
        <v>4.4073249741069652E-5</v>
      </c>
      <c r="C16" s="3">
        <v>8.853866926380098E-5</v>
      </c>
      <c r="D16" s="6">
        <v>0</v>
      </c>
      <c r="E16" s="23">
        <v>6.5612492618594579E-5</v>
      </c>
      <c r="F16" s="3">
        <v>1.3150973172014729E-4</v>
      </c>
      <c r="G16" s="6">
        <v>0</v>
      </c>
    </row>
    <row r="17" spans="1:7" x14ac:dyDescent="0.45">
      <c r="A17" s="37" t="s">
        <v>76</v>
      </c>
      <c r="B17" s="25">
        <v>4.6276912228123139E-4</v>
      </c>
      <c r="C17" s="3">
        <v>5.3123201558280585E-4</v>
      </c>
      <c r="D17" s="6">
        <v>3.9491004826678363E-4</v>
      </c>
      <c r="E17" s="23">
        <v>7.87349911423135E-4</v>
      </c>
      <c r="F17" s="3">
        <v>9.2056812204103101E-4</v>
      </c>
      <c r="G17" s="6">
        <v>6.5470734581642002E-4</v>
      </c>
    </row>
    <row r="18" spans="1:7" x14ac:dyDescent="0.45">
      <c r="A18" s="37" t="s">
        <v>77</v>
      </c>
      <c r="B18" s="25">
        <v>1.8290398642543905E-3</v>
      </c>
      <c r="C18" s="3">
        <v>2.70042941254593E-3</v>
      </c>
      <c r="D18" s="6">
        <v>9.6533567354102666E-4</v>
      </c>
      <c r="E18" s="23">
        <v>1.57469982284627E-3</v>
      </c>
      <c r="F18" s="3">
        <v>2.1041557075223566E-3</v>
      </c>
      <c r="G18" s="6">
        <v>1.0475317533062722E-3</v>
      </c>
    </row>
    <row r="19" spans="1:7" x14ac:dyDescent="0.45">
      <c r="A19" s="37" t="s">
        <v>78</v>
      </c>
      <c r="B19" s="25">
        <v>1.4279732916106567E-2</v>
      </c>
      <c r="C19" s="3">
        <v>1.8061888529815402E-2</v>
      </c>
      <c r="D19" s="6">
        <v>1.0530934620447565E-2</v>
      </c>
      <c r="E19" s="23">
        <v>1.6337510662030052E-2</v>
      </c>
      <c r="F19" s="3">
        <v>2.1699105733824303E-2</v>
      </c>
      <c r="G19" s="6">
        <v>1.0999083409715857E-2</v>
      </c>
    </row>
    <row r="20" spans="1:7" x14ac:dyDescent="0.45">
      <c r="A20" s="37" t="s">
        <v>79</v>
      </c>
      <c r="B20" s="25">
        <v>5.6700235791886121E-2</v>
      </c>
      <c r="C20" s="3">
        <v>6.179999114613309E-2</v>
      </c>
      <c r="D20" s="6">
        <v>5.1645458534444924E-2</v>
      </c>
      <c r="E20" s="23">
        <v>6.4431467751459873E-2</v>
      </c>
      <c r="F20" s="3">
        <v>7.2198842714360861E-2</v>
      </c>
      <c r="G20" s="6">
        <v>5.6697656147701975E-2</v>
      </c>
    </row>
    <row r="21" spans="1:7" x14ac:dyDescent="0.45">
      <c r="A21" s="37" t="s">
        <v>80</v>
      </c>
      <c r="B21" s="25">
        <v>6.9944247339077545E-2</v>
      </c>
      <c r="C21" s="3">
        <v>7.0609588737881299E-2</v>
      </c>
      <c r="D21" s="6">
        <v>6.9284774023694609E-2</v>
      </c>
      <c r="E21" s="23">
        <v>9.5334951774817919E-2</v>
      </c>
      <c r="F21" s="3">
        <v>9.9158337716991063E-2</v>
      </c>
      <c r="G21" s="6">
        <v>9.152808694513552E-2</v>
      </c>
    </row>
    <row r="22" spans="1:7" x14ac:dyDescent="0.45">
      <c r="A22" s="37" t="s">
        <v>81</v>
      </c>
      <c r="B22" s="25">
        <v>7.7568919544282591E-2</v>
      </c>
      <c r="C22" s="3">
        <v>7.990614901058038E-2</v>
      </c>
      <c r="D22" s="6">
        <v>7.5252303641948209E-2</v>
      </c>
      <c r="E22" s="23">
        <v>0.11095072501804344</v>
      </c>
      <c r="F22" s="3">
        <v>0.11441346659652814</v>
      </c>
      <c r="G22" s="6">
        <v>0.10750294618305617</v>
      </c>
    </row>
    <row r="23" spans="1:7" x14ac:dyDescent="0.45">
      <c r="A23" s="37" t="s">
        <v>82</v>
      </c>
      <c r="B23" s="25">
        <v>8.5413957998192999E-2</v>
      </c>
      <c r="C23" s="3">
        <v>8.6148125193678357E-2</v>
      </c>
      <c r="D23" s="6">
        <v>8.4686265906099165E-2</v>
      </c>
      <c r="E23" s="23">
        <v>0.1102289875992389</v>
      </c>
      <c r="F23" s="3">
        <v>0.10796948974224092</v>
      </c>
      <c r="G23" s="6">
        <v>0.11247872201126097</v>
      </c>
    </row>
    <row r="24" spans="1:7" x14ac:dyDescent="0.45">
      <c r="A24" s="37" t="s">
        <v>83</v>
      </c>
      <c r="B24" s="25">
        <v>9.0085722470746379E-2</v>
      </c>
      <c r="C24" s="3">
        <v>9.1593253353402126E-2</v>
      </c>
      <c r="D24" s="6">
        <v>8.8591487494515134E-2</v>
      </c>
      <c r="E24" s="23">
        <v>0.10714520044616495</v>
      </c>
      <c r="F24" s="3">
        <v>0.10875854813256181</v>
      </c>
      <c r="G24" s="6">
        <v>0.10553882414560692</v>
      </c>
    </row>
    <row r="25" spans="1:7" x14ac:dyDescent="0.45">
      <c r="A25" s="37" t="s">
        <v>84</v>
      </c>
      <c r="B25" s="25">
        <v>8.8653341854161613E-2</v>
      </c>
      <c r="C25" s="3">
        <v>8.7122050555580158E-2</v>
      </c>
      <c r="D25" s="6">
        <v>9.0171127687582273E-2</v>
      </c>
      <c r="E25" s="23">
        <v>9.5663014237910904E-2</v>
      </c>
      <c r="F25" s="3">
        <v>9.4160967911625454E-2</v>
      </c>
      <c r="G25" s="6">
        <v>9.715857011915674E-2</v>
      </c>
    </row>
    <row r="26" spans="1:7" x14ac:dyDescent="0.45">
      <c r="A26" s="37" t="s">
        <v>85</v>
      </c>
      <c r="B26" s="25">
        <v>8.9292403975407136E-2</v>
      </c>
      <c r="C26" s="3">
        <v>9.030944264907699E-2</v>
      </c>
      <c r="D26" s="6">
        <v>8.828433523475207E-2</v>
      </c>
      <c r="E26" s="23">
        <v>8.2737353192047766E-2</v>
      </c>
      <c r="F26" s="3">
        <v>7.9694897422409261E-2</v>
      </c>
      <c r="G26" s="6">
        <v>8.5766662301951027E-2</v>
      </c>
    </row>
    <row r="27" spans="1:7" x14ac:dyDescent="0.45">
      <c r="A27" s="37" t="s">
        <v>86</v>
      </c>
      <c r="B27" s="25">
        <v>8.6846338614777752E-2</v>
      </c>
      <c r="C27" s="3">
        <v>8.5793970516623158E-2</v>
      </c>
      <c r="D27" s="6">
        <v>8.7889425186485293E-2</v>
      </c>
      <c r="E27" s="23">
        <v>7.0074142116659008E-2</v>
      </c>
      <c r="F27" s="3">
        <v>6.7859021567596003E-2</v>
      </c>
      <c r="G27" s="6">
        <v>7.2279690978132777E-2</v>
      </c>
    </row>
    <row r="28" spans="1:7" x14ac:dyDescent="0.45">
      <c r="A28" s="37" t="s">
        <v>87</v>
      </c>
      <c r="B28" s="25">
        <v>9.2179201833447202E-2</v>
      </c>
      <c r="C28" s="3">
        <v>9.1947408030457325E-2</v>
      </c>
      <c r="D28" s="6">
        <v>9.2408951294427374E-2</v>
      </c>
      <c r="E28" s="23">
        <v>6.751525490453382E-2</v>
      </c>
      <c r="F28" s="3">
        <v>6.3782219884271435E-2</v>
      </c>
      <c r="G28" s="6">
        <v>7.1232159224826508E-2</v>
      </c>
    </row>
    <row r="29" spans="1:7" x14ac:dyDescent="0.45">
      <c r="A29" s="37" t="s">
        <v>88</v>
      </c>
      <c r="B29" s="25">
        <v>8.6075056744309042E-2</v>
      </c>
      <c r="C29" s="3">
        <v>8.5882509185886954E-2</v>
      </c>
      <c r="D29" s="6">
        <v>8.626590609916629E-2</v>
      </c>
      <c r="E29" s="23">
        <v>5.9772980775539664E-2</v>
      </c>
      <c r="F29" s="3">
        <v>5.8258811152025247E-2</v>
      </c>
      <c r="G29" s="6">
        <v>6.1280607568416919E-2</v>
      </c>
    </row>
    <row r="30" spans="1:7" x14ac:dyDescent="0.45">
      <c r="A30" s="37" t="s">
        <v>89</v>
      </c>
      <c r="B30" s="25">
        <v>8.0698120275898524E-2</v>
      </c>
      <c r="C30" s="3">
        <v>7.8400991633095773E-2</v>
      </c>
      <c r="D30" s="6">
        <v>8.2974989030276419E-2</v>
      </c>
      <c r="E30" s="23">
        <v>5.5442556262712418E-2</v>
      </c>
      <c r="F30" s="3">
        <v>5.2998421883219356E-2</v>
      </c>
      <c r="G30" s="6">
        <v>5.7876129370171531E-2</v>
      </c>
    </row>
    <row r="31" spans="1:7" x14ac:dyDescent="0.45">
      <c r="A31" s="37" t="s">
        <v>90</v>
      </c>
      <c r="B31" s="25">
        <v>6.0777011392935058E-2</v>
      </c>
      <c r="C31" s="3">
        <v>5.4008588250918595E-2</v>
      </c>
      <c r="D31" s="6">
        <v>6.7485739359368149E-2</v>
      </c>
      <c r="E31" s="23">
        <v>4.4485269995407126E-2</v>
      </c>
      <c r="F31" s="3">
        <v>4.0768016833245657E-2</v>
      </c>
      <c r="G31" s="6">
        <v>4.8186460652088516E-2</v>
      </c>
    </row>
    <row r="32" spans="1:7" x14ac:dyDescent="0.45">
      <c r="A32" s="37" t="s">
        <v>91</v>
      </c>
      <c r="B32" s="25">
        <v>1.5557857158597591E-2</v>
      </c>
      <c r="C32" s="3">
        <v>1.2218336358404533E-2</v>
      </c>
      <c r="D32" s="6">
        <v>1.8867924528301883E-2</v>
      </c>
      <c r="E32" s="23">
        <v>1.3909848435142052E-2</v>
      </c>
      <c r="F32" s="3">
        <v>1.262493424513414E-2</v>
      </c>
      <c r="G32" s="6">
        <v>1.5189210422940946E-2</v>
      </c>
    </row>
    <row r="33" spans="1:7" x14ac:dyDescent="0.45">
      <c r="A33" s="37" t="s">
        <v>92</v>
      </c>
      <c r="B33" s="25">
        <v>2.4901386103704359E-3</v>
      </c>
      <c r="C33" s="3">
        <v>1.9035813891717212E-3</v>
      </c>
      <c r="D33" s="6">
        <v>3.0715225976305398E-3</v>
      </c>
      <c r="E33" s="23">
        <v>2.2964372416508102E-3</v>
      </c>
      <c r="F33" s="3">
        <v>1.4466070489216202E-3</v>
      </c>
      <c r="G33" s="6">
        <v>3.1425952599188163E-3</v>
      </c>
    </row>
    <row r="34" spans="1:7" x14ac:dyDescent="0.45">
      <c r="A34" s="37" t="s">
        <v>93</v>
      </c>
      <c r="B34" s="25">
        <v>8.1535512020978866E-4</v>
      </c>
      <c r="C34" s="3">
        <v>7.5257868874230836E-4</v>
      </c>
      <c r="D34" s="6">
        <v>8.7757788503729707E-4</v>
      </c>
      <c r="E34" s="23">
        <v>8.5296240404172951E-4</v>
      </c>
      <c r="F34" s="3">
        <v>9.2056812204103101E-4</v>
      </c>
      <c r="G34" s="6">
        <v>7.8564881497970407E-4</v>
      </c>
    </row>
    <row r="35" spans="1:7" ht="14.65" thickBot="1" x14ac:dyDescent="0.5">
      <c r="A35" s="38" t="s">
        <v>94</v>
      </c>
      <c r="B35" s="26">
        <v>2.8647612331695276E-4</v>
      </c>
      <c r="C35" s="8">
        <v>2.2134667315950243E-4</v>
      </c>
      <c r="D35" s="9">
        <v>3.5103115401491879E-4</v>
      </c>
      <c r="E35" s="24">
        <v>3.936749557115675E-4</v>
      </c>
      <c r="F35" s="8">
        <v>1.3150973172014729E-4</v>
      </c>
      <c r="G35" s="9">
        <v>6.5470734581642002E-4</v>
      </c>
    </row>
    <row r="36" spans="1:7" x14ac:dyDescent="0.45">
      <c r="B36" s="11">
        <f t="shared" ref="B36:G36" si="0">SUM(B12:B35)</f>
        <v>0.99999999999999989</v>
      </c>
      <c r="C36" s="11">
        <f t="shared" si="0"/>
        <v>1.0000000000000002</v>
      </c>
      <c r="D36" s="11">
        <f t="shared" si="0"/>
        <v>0.99999999999999989</v>
      </c>
      <c r="E36" s="11">
        <f t="shared" si="0"/>
        <v>1.0000000000000002</v>
      </c>
      <c r="F36" s="11">
        <f t="shared" si="0"/>
        <v>0.99999999999999989</v>
      </c>
      <c r="G36" s="11">
        <f t="shared" si="0"/>
        <v>1</v>
      </c>
    </row>
  </sheetData>
  <mergeCells count="15">
    <mergeCell ref="A1:G2"/>
    <mergeCell ref="A3:G3"/>
    <mergeCell ref="B5:D5"/>
    <mergeCell ref="E5:G5"/>
    <mergeCell ref="B6:D6"/>
    <mergeCell ref="E6:G6"/>
    <mergeCell ref="B9:D9"/>
    <mergeCell ref="E9:G9"/>
    <mergeCell ref="B10:D10"/>
    <mergeCell ref="E10:G10"/>
    <mergeCell ref="A4:G4"/>
    <mergeCell ref="B7:D7"/>
    <mergeCell ref="E7:G7"/>
    <mergeCell ref="B8:D8"/>
    <mergeCell ref="E8:G8"/>
  </mergeCells>
  <pageMargins left="0.7" right="0.7" top="0.75" bottom="0.75" header="0.3" footer="0.3"/>
  <pageSetup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FF00"/>
  </sheetPr>
  <dimension ref="A1:D36"/>
  <sheetViews>
    <sheetView topLeftCell="A4" workbookViewId="0">
      <selection activeCell="A5" sqref="A5:A35"/>
    </sheetView>
  </sheetViews>
  <sheetFormatPr defaultRowHeight="14.25" x14ac:dyDescent="0.45"/>
  <cols>
    <col min="1" max="1" width="17.796875" customWidth="1"/>
    <col min="2" max="4" width="17.796875" style="1" customWidth="1"/>
  </cols>
  <sheetData>
    <row r="1" spans="1:4" x14ac:dyDescent="0.45">
      <c r="A1" s="93" t="s">
        <v>70</v>
      </c>
      <c r="B1" s="94"/>
      <c r="C1" s="94"/>
      <c r="D1" s="95"/>
    </row>
    <row r="2" spans="1:4" x14ac:dyDescent="0.45">
      <c r="A2" s="96"/>
      <c r="B2" s="97"/>
      <c r="C2" s="97"/>
      <c r="D2" s="98"/>
    </row>
    <row r="3" spans="1:4" x14ac:dyDescent="0.45">
      <c r="A3" s="99" t="s">
        <v>157</v>
      </c>
      <c r="B3" s="88"/>
      <c r="C3" s="88"/>
      <c r="D3" s="89"/>
    </row>
    <row r="4" spans="1:4" ht="14.65" thickBot="1" x14ac:dyDescent="0.5">
      <c r="A4" s="100"/>
      <c r="B4" s="91"/>
      <c r="C4" s="91"/>
      <c r="D4" s="92"/>
    </row>
    <row r="5" spans="1:4" x14ac:dyDescent="0.45">
      <c r="A5" s="60" t="s">
        <v>68</v>
      </c>
      <c r="B5" s="101">
        <v>949</v>
      </c>
      <c r="C5" s="102"/>
      <c r="D5" s="103"/>
    </row>
    <row r="6" spans="1:4" x14ac:dyDescent="0.45">
      <c r="A6" s="61" t="s">
        <v>0</v>
      </c>
      <c r="B6" s="87" t="s">
        <v>53</v>
      </c>
      <c r="C6" s="88"/>
      <c r="D6" s="89"/>
    </row>
    <row r="7" spans="1:4" x14ac:dyDescent="0.45">
      <c r="A7" s="61" t="s">
        <v>54</v>
      </c>
      <c r="B7" s="87" t="s">
        <v>55</v>
      </c>
      <c r="C7" s="88"/>
      <c r="D7" s="89"/>
    </row>
    <row r="8" spans="1:4" x14ac:dyDescent="0.45">
      <c r="A8" s="61" t="s">
        <v>59</v>
      </c>
      <c r="B8" s="87" t="s">
        <v>60</v>
      </c>
      <c r="C8" s="88"/>
      <c r="D8" s="89"/>
    </row>
    <row r="9" spans="1:4" ht="14.65" thickBot="1" x14ac:dyDescent="0.5">
      <c r="A9" s="63" t="s">
        <v>64</v>
      </c>
      <c r="B9" s="90">
        <v>1</v>
      </c>
      <c r="C9" s="91"/>
      <c r="D9" s="92"/>
    </row>
    <row r="10" spans="1:4" x14ac:dyDescent="0.45">
      <c r="A10" s="62"/>
      <c r="B10" s="101" t="s">
        <v>134</v>
      </c>
      <c r="C10" s="102"/>
      <c r="D10" s="103"/>
    </row>
    <row r="11" spans="1:4" x14ac:dyDescent="0.45">
      <c r="A11" s="61" t="s">
        <v>65</v>
      </c>
      <c r="B11" s="22" t="s">
        <v>95</v>
      </c>
      <c r="C11" s="2" t="s">
        <v>66</v>
      </c>
      <c r="D11" s="5" t="s">
        <v>67</v>
      </c>
    </row>
    <row r="12" spans="1:4" x14ac:dyDescent="0.45">
      <c r="A12" s="61" t="s">
        <v>71</v>
      </c>
      <c r="B12" s="23">
        <v>0</v>
      </c>
      <c r="C12" s="3">
        <v>0</v>
      </c>
      <c r="D12" s="6">
        <v>0</v>
      </c>
    </row>
    <row r="13" spans="1:4" x14ac:dyDescent="0.45">
      <c r="A13" s="61" t="s">
        <v>72</v>
      </c>
      <c r="B13" s="23">
        <v>0</v>
      </c>
      <c r="C13" s="3">
        <v>0</v>
      </c>
      <c r="D13" s="6">
        <v>0</v>
      </c>
    </row>
    <row r="14" spans="1:4" x14ac:dyDescent="0.45">
      <c r="A14" s="61" t="s">
        <v>73</v>
      </c>
      <c r="B14" s="23">
        <v>0</v>
      </c>
      <c r="C14" s="3">
        <v>0</v>
      </c>
      <c r="D14" s="6">
        <v>0</v>
      </c>
    </row>
    <row r="15" spans="1:4" x14ac:dyDescent="0.45">
      <c r="A15" s="61" t="s">
        <v>74</v>
      </c>
      <c r="B15" s="23">
        <v>0</v>
      </c>
      <c r="C15" s="3">
        <v>0</v>
      </c>
      <c r="D15" s="6">
        <v>0</v>
      </c>
    </row>
    <row r="16" spans="1:4" x14ac:dyDescent="0.45">
      <c r="A16" s="61" t="s">
        <v>75</v>
      </c>
      <c r="B16" s="23">
        <v>1.2804097311139564E-3</v>
      </c>
      <c r="C16" s="3">
        <v>1.2738853503184713E-3</v>
      </c>
      <c r="D16" s="6">
        <v>1.287001287001287E-3</v>
      </c>
    </row>
    <row r="17" spans="1:4" x14ac:dyDescent="0.45">
      <c r="A17" s="61" t="s">
        <v>76</v>
      </c>
      <c r="B17" s="23">
        <v>2.5608194622279128E-3</v>
      </c>
      <c r="C17" s="3">
        <v>2.5477707006369425E-3</v>
      </c>
      <c r="D17" s="6">
        <v>2.5740025740025739E-3</v>
      </c>
    </row>
    <row r="18" spans="1:4" x14ac:dyDescent="0.45">
      <c r="A18" s="61" t="s">
        <v>77</v>
      </c>
      <c r="B18" s="23">
        <v>6.4020486555697821E-4</v>
      </c>
      <c r="C18" s="3">
        <v>1.2738853503184713E-3</v>
      </c>
      <c r="D18" s="6">
        <v>0</v>
      </c>
    </row>
    <row r="19" spans="1:4" x14ac:dyDescent="0.45">
      <c r="A19" s="61" t="s">
        <v>78</v>
      </c>
      <c r="B19" s="23">
        <v>3.265044814340589E-2</v>
      </c>
      <c r="C19" s="3">
        <v>4.8407643312101914E-2</v>
      </c>
      <c r="D19" s="6">
        <v>1.6731016731016731E-2</v>
      </c>
    </row>
    <row r="20" spans="1:4" x14ac:dyDescent="0.45">
      <c r="A20" s="61" t="s">
        <v>79</v>
      </c>
      <c r="B20" s="23">
        <v>5.5057618437900128E-2</v>
      </c>
      <c r="C20" s="3">
        <v>6.6242038216560509E-2</v>
      </c>
      <c r="D20" s="6">
        <v>4.3758043758043756E-2</v>
      </c>
    </row>
    <row r="21" spans="1:4" x14ac:dyDescent="0.45">
      <c r="A21" s="61" t="s">
        <v>80</v>
      </c>
      <c r="B21" s="23">
        <v>7.3623559539052502E-2</v>
      </c>
      <c r="C21" s="3">
        <v>7.7707006369426748E-2</v>
      </c>
      <c r="D21" s="6">
        <v>6.9498069498069498E-2</v>
      </c>
    </row>
    <row r="22" spans="1:4" x14ac:dyDescent="0.45">
      <c r="A22" s="61" t="s">
        <v>81</v>
      </c>
      <c r="B22" s="23">
        <v>7.5544174135723438E-2</v>
      </c>
      <c r="C22" s="3">
        <v>7.5159235668789806E-2</v>
      </c>
      <c r="D22" s="6">
        <v>7.5933075933075939E-2</v>
      </c>
    </row>
    <row r="23" spans="1:4" x14ac:dyDescent="0.45">
      <c r="A23" s="61" t="s">
        <v>82</v>
      </c>
      <c r="B23" s="23">
        <v>9.7311139564660698E-2</v>
      </c>
      <c r="C23" s="3">
        <v>0.10445859872611465</v>
      </c>
      <c r="D23" s="6">
        <v>9.0090090090090086E-2</v>
      </c>
    </row>
    <row r="24" spans="1:4" x14ac:dyDescent="0.45">
      <c r="A24" s="61" t="s">
        <v>83</v>
      </c>
      <c r="B24" s="23">
        <v>9.7311139564660698E-2</v>
      </c>
      <c r="C24" s="3">
        <v>9.8089171974522299E-2</v>
      </c>
      <c r="D24" s="6">
        <v>9.6525096525096526E-2</v>
      </c>
    </row>
    <row r="25" spans="1:4" x14ac:dyDescent="0.45">
      <c r="A25" s="61" t="s">
        <v>84</v>
      </c>
      <c r="B25" s="23">
        <v>8.2586427656850189E-2</v>
      </c>
      <c r="C25" s="3">
        <v>7.8980891719745219E-2</v>
      </c>
      <c r="D25" s="6">
        <v>8.6229086229086233E-2</v>
      </c>
    </row>
    <row r="26" spans="1:4" x14ac:dyDescent="0.45">
      <c r="A26" s="61" t="s">
        <v>85</v>
      </c>
      <c r="B26" s="23">
        <v>9.923175416133162E-2</v>
      </c>
      <c r="C26" s="3">
        <v>9.6815286624203828E-2</v>
      </c>
      <c r="D26" s="6">
        <v>0.10167310167310167</v>
      </c>
    </row>
    <row r="27" spans="1:4" x14ac:dyDescent="0.45">
      <c r="A27" s="61" t="s">
        <v>86</v>
      </c>
      <c r="B27" s="23">
        <v>9.9871959026888599E-2</v>
      </c>
      <c r="C27" s="3">
        <v>9.5541401273885357E-2</v>
      </c>
      <c r="D27" s="6">
        <v>0.10424710424710425</v>
      </c>
    </row>
    <row r="28" spans="1:4" x14ac:dyDescent="0.45">
      <c r="A28" s="61" t="s">
        <v>87</v>
      </c>
      <c r="B28" s="23">
        <v>8.706786171574904E-2</v>
      </c>
      <c r="C28" s="3">
        <v>8.4076433121019103E-2</v>
      </c>
      <c r="D28" s="6">
        <v>9.0090090090090086E-2</v>
      </c>
    </row>
    <row r="29" spans="1:4" x14ac:dyDescent="0.45">
      <c r="A29" s="61" t="s">
        <v>88</v>
      </c>
      <c r="B29" s="23">
        <v>7.2343149807938545E-2</v>
      </c>
      <c r="C29" s="3">
        <v>7.1337579617834393E-2</v>
      </c>
      <c r="D29" s="6">
        <v>7.3359073359073365E-2</v>
      </c>
    </row>
    <row r="30" spans="1:4" x14ac:dyDescent="0.45">
      <c r="A30" s="61" t="s">
        <v>89</v>
      </c>
      <c r="B30" s="23">
        <v>8.1306017925736232E-2</v>
      </c>
      <c r="C30" s="3">
        <v>7.5159235668789806E-2</v>
      </c>
      <c r="D30" s="6">
        <v>8.7516087516087512E-2</v>
      </c>
    </row>
    <row r="31" spans="1:4" x14ac:dyDescent="0.45">
      <c r="A31" s="61" t="s">
        <v>90</v>
      </c>
      <c r="B31" s="23">
        <v>3.5211267605633804E-2</v>
      </c>
      <c r="C31" s="3">
        <v>1.6560509554140127E-2</v>
      </c>
      <c r="D31" s="6">
        <v>5.4054054054054057E-2</v>
      </c>
    </row>
    <row r="32" spans="1:4" x14ac:dyDescent="0.45">
      <c r="A32" s="61" t="s">
        <v>91</v>
      </c>
      <c r="B32" s="23">
        <v>5.1216389244558257E-3</v>
      </c>
      <c r="C32" s="3">
        <v>5.0955414012738851E-3</v>
      </c>
      <c r="D32" s="6">
        <v>5.1480051480051478E-3</v>
      </c>
    </row>
    <row r="33" spans="1:4" x14ac:dyDescent="0.45">
      <c r="A33" s="61" t="s">
        <v>92</v>
      </c>
      <c r="B33" s="23">
        <v>0</v>
      </c>
      <c r="C33" s="3">
        <v>0</v>
      </c>
      <c r="D33" s="6">
        <v>0</v>
      </c>
    </row>
    <row r="34" spans="1:4" x14ac:dyDescent="0.45">
      <c r="A34" s="61" t="s">
        <v>93</v>
      </c>
      <c r="B34" s="23">
        <v>1.2804097311139564E-3</v>
      </c>
      <c r="C34" s="3">
        <v>1.2738853503184713E-3</v>
      </c>
      <c r="D34" s="6">
        <v>1.287001287001287E-3</v>
      </c>
    </row>
    <row r="35" spans="1:4" ht="14.65" thickBot="1" x14ac:dyDescent="0.5">
      <c r="A35" s="63" t="s">
        <v>94</v>
      </c>
      <c r="B35" s="24">
        <v>0</v>
      </c>
      <c r="C35" s="8">
        <v>0</v>
      </c>
      <c r="D35" s="9">
        <v>0</v>
      </c>
    </row>
    <row r="36" spans="1:4" x14ac:dyDescent="0.45">
      <c r="B36" s="11">
        <f>SUM(B12:B35)</f>
        <v>0.99999999999999989</v>
      </c>
      <c r="C36" s="11">
        <f>SUM(C12:C35)</f>
        <v>0.99999999999999989</v>
      </c>
      <c r="D36" s="11">
        <f>SUM(D12:D35)</f>
        <v>1</v>
      </c>
    </row>
  </sheetData>
  <mergeCells count="9">
    <mergeCell ref="B7:D7"/>
    <mergeCell ref="B8:D8"/>
    <mergeCell ref="B9:D9"/>
    <mergeCell ref="B10:D10"/>
    <mergeCell ref="A1:D2"/>
    <mergeCell ref="A3:D3"/>
    <mergeCell ref="A4:D4"/>
    <mergeCell ref="B5:D5"/>
    <mergeCell ref="B6:D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2CF3-D682-4E14-A6A2-C00D3E45FBC6}">
  <sheetPr>
    <tabColor rgb="FFFFFF00"/>
  </sheetPr>
  <dimension ref="A1:G36"/>
  <sheetViews>
    <sheetView topLeftCell="A6" workbookViewId="0">
      <selection activeCell="E44" sqref="E44"/>
    </sheetView>
  </sheetViews>
  <sheetFormatPr defaultRowHeight="14.25" x14ac:dyDescent="0.45"/>
  <cols>
    <col min="1" max="1" width="17.796875" customWidth="1"/>
    <col min="2" max="7" width="17.796875" style="1" customWidth="1"/>
  </cols>
  <sheetData>
    <row r="1" spans="1:7" ht="15" customHeight="1" x14ac:dyDescent="0.45">
      <c r="A1" s="93" t="s">
        <v>70</v>
      </c>
      <c r="B1" s="94"/>
      <c r="C1" s="94"/>
      <c r="D1" s="94"/>
      <c r="E1" s="94"/>
      <c r="F1" s="94"/>
      <c r="G1" s="95"/>
    </row>
    <row r="2" spans="1:7" ht="15" customHeight="1" x14ac:dyDescent="0.45">
      <c r="A2" s="96"/>
      <c r="B2" s="97"/>
      <c r="C2" s="97"/>
      <c r="D2" s="97"/>
      <c r="E2" s="97"/>
      <c r="F2" s="97"/>
      <c r="G2" s="98"/>
    </row>
    <row r="3" spans="1:7" ht="14.65" thickBot="1" x14ac:dyDescent="0.5">
      <c r="A3" s="100" t="s">
        <v>157</v>
      </c>
      <c r="B3" s="91"/>
      <c r="C3" s="91"/>
      <c r="D3" s="91"/>
      <c r="E3" s="91"/>
      <c r="F3" s="91"/>
      <c r="G3" s="92"/>
    </row>
    <row r="4" spans="1:7" x14ac:dyDescent="0.45">
      <c r="A4" s="36" t="s">
        <v>68</v>
      </c>
      <c r="B4" s="88">
        <v>960</v>
      </c>
      <c r="C4" s="88"/>
      <c r="D4" s="89"/>
      <c r="E4" s="132">
        <v>960</v>
      </c>
      <c r="F4" s="127"/>
      <c r="G4" s="128"/>
    </row>
    <row r="5" spans="1:7" x14ac:dyDescent="0.45">
      <c r="A5" s="37" t="s">
        <v>0</v>
      </c>
      <c r="B5" s="88" t="s">
        <v>196</v>
      </c>
      <c r="C5" s="88"/>
      <c r="D5" s="89"/>
      <c r="E5" s="131" t="s">
        <v>196</v>
      </c>
      <c r="F5" s="122"/>
      <c r="G5" s="123"/>
    </row>
    <row r="6" spans="1:7" x14ac:dyDescent="0.45">
      <c r="A6" s="37" t="s">
        <v>98</v>
      </c>
      <c r="B6" s="88" t="s">
        <v>197</v>
      </c>
      <c r="C6" s="88"/>
      <c r="D6" s="89"/>
      <c r="E6" s="87" t="s">
        <v>198</v>
      </c>
      <c r="F6" s="88"/>
      <c r="G6" s="89"/>
    </row>
    <row r="7" spans="1:7" x14ac:dyDescent="0.45">
      <c r="A7" s="37" t="s">
        <v>54</v>
      </c>
      <c r="B7" s="99" t="s">
        <v>55</v>
      </c>
      <c r="C7" s="88"/>
      <c r="D7" s="89"/>
      <c r="E7" s="87" t="s">
        <v>55</v>
      </c>
      <c r="F7" s="88"/>
      <c r="G7" s="89"/>
    </row>
    <row r="8" spans="1:7" x14ac:dyDescent="0.45">
      <c r="A8" s="37" t="s">
        <v>59</v>
      </c>
      <c r="B8" s="99" t="s">
        <v>60</v>
      </c>
      <c r="C8" s="88"/>
      <c r="D8" s="89"/>
      <c r="E8" s="87" t="s">
        <v>60</v>
      </c>
      <c r="F8" s="88"/>
      <c r="G8" s="89"/>
    </row>
    <row r="9" spans="1:7" ht="14.65" thickBot="1" x14ac:dyDescent="0.5">
      <c r="A9" s="38" t="s">
        <v>64</v>
      </c>
      <c r="B9" s="100">
        <v>1</v>
      </c>
      <c r="C9" s="91"/>
      <c r="D9" s="92"/>
      <c r="E9" s="90">
        <v>1</v>
      </c>
      <c r="F9" s="91"/>
      <c r="G9" s="92"/>
    </row>
    <row r="10" spans="1:7" x14ac:dyDescent="0.45">
      <c r="A10" s="44"/>
      <c r="B10" s="108" t="s">
        <v>134</v>
      </c>
      <c r="C10" s="102"/>
      <c r="D10" s="103"/>
      <c r="E10" s="101" t="s">
        <v>134</v>
      </c>
      <c r="F10" s="102"/>
      <c r="G10" s="103"/>
    </row>
    <row r="11" spans="1:7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5" t="s">
        <v>67</v>
      </c>
    </row>
    <row r="12" spans="1:7" x14ac:dyDescent="0.45">
      <c r="A12" s="37" t="s">
        <v>71</v>
      </c>
      <c r="B12" s="25">
        <v>0</v>
      </c>
      <c r="C12" s="3">
        <v>0</v>
      </c>
      <c r="D12" s="6">
        <v>0</v>
      </c>
      <c r="E12" s="23">
        <v>0</v>
      </c>
      <c r="F12" s="3">
        <v>0</v>
      </c>
      <c r="G12" s="6">
        <v>0</v>
      </c>
    </row>
    <row r="13" spans="1:7" x14ac:dyDescent="0.45">
      <c r="A13" s="37" t="s">
        <v>72</v>
      </c>
      <c r="B13" s="25">
        <v>0</v>
      </c>
      <c r="C13" s="3">
        <v>0</v>
      </c>
      <c r="D13" s="6">
        <v>0</v>
      </c>
      <c r="E13" s="23">
        <v>0</v>
      </c>
      <c r="F13" s="3">
        <v>0</v>
      </c>
      <c r="G13" s="6">
        <v>0</v>
      </c>
    </row>
    <row r="14" spans="1:7" x14ac:dyDescent="0.45">
      <c r="A14" s="37" t="s">
        <v>73</v>
      </c>
      <c r="B14" s="25">
        <v>0</v>
      </c>
      <c r="C14" s="3">
        <v>0</v>
      </c>
      <c r="D14" s="6">
        <v>0</v>
      </c>
      <c r="E14" s="23">
        <v>0</v>
      </c>
      <c r="F14" s="3">
        <v>0</v>
      </c>
      <c r="G14" s="6">
        <v>0</v>
      </c>
    </row>
    <row r="15" spans="1:7" x14ac:dyDescent="0.45">
      <c r="A15" s="37" t="s">
        <v>74</v>
      </c>
      <c r="B15" s="25">
        <v>0</v>
      </c>
      <c r="C15" s="3">
        <v>0</v>
      </c>
      <c r="D15" s="6">
        <v>0</v>
      </c>
      <c r="E15" s="23">
        <v>0</v>
      </c>
      <c r="F15" s="3">
        <v>0</v>
      </c>
      <c r="G15" s="6">
        <v>0</v>
      </c>
    </row>
    <row r="16" spans="1:7" x14ac:dyDescent="0.45">
      <c r="A16" s="37" t="s">
        <v>75</v>
      </c>
      <c r="B16" s="25">
        <v>5.7142857142857143E-3</v>
      </c>
      <c r="C16" s="3">
        <v>1.1627906976744186E-2</v>
      </c>
      <c r="D16" s="6">
        <v>0</v>
      </c>
      <c r="E16" s="23">
        <v>4.1493775933609959E-3</v>
      </c>
      <c r="F16" s="3">
        <v>1.0101010101010102E-2</v>
      </c>
      <c r="G16" s="6">
        <v>0</v>
      </c>
    </row>
    <row r="17" spans="1:7" x14ac:dyDescent="0.45">
      <c r="A17" s="37" t="s">
        <v>76</v>
      </c>
      <c r="B17" s="25">
        <v>0</v>
      </c>
      <c r="C17" s="3">
        <v>0</v>
      </c>
      <c r="D17" s="6">
        <v>0</v>
      </c>
      <c r="E17" s="23">
        <v>0</v>
      </c>
      <c r="F17" s="3">
        <v>0</v>
      </c>
      <c r="G17" s="6">
        <v>0</v>
      </c>
    </row>
    <row r="18" spans="1:7" x14ac:dyDescent="0.45">
      <c r="A18" s="37" t="s">
        <v>77</v>
      </c>
      <c r="B18" s="25">
        <v>0</v>
      </c>
      <c r="C18" s="3">
        <v>0</v>
      </c>
      <c r="D18" s="6">
        <v>0</v>
      </c>
      <c r="E18" s="23">
        <v>0</v>
      </c>
      <c r="F18" s="3">
        <v>0</v>
      </c>
      <c r="G18" s="6">
        <v>0</v>
      </c>
    </row>
    <row r="19" spans="1:7" x14ac:dyDescent="0.45">
      <c r="A19" s="37" t="s">
        <v>78</v>
      </c>
      <c r="B19" s="25">
        <v>0.04</v>
      </c>
      <c r="C19" s="3">
        <v>6.9767441860465115E-2</v>
      </c>
      <c r="D19" s="6">
        <v>1.1235955056179775E-2</v>
      </c>
      <c r="E19" s="23">
        <v>4.1493775933609957E-2</v>
      </c>
      <c r="F19" s="3">
        <v>8.0808080808080815E-2</v>
      </c>
      <c r="G19" s="6">
        <v>1.4084507042253521E-2</v>
      </c>
    </row>
    <row r="20" spans="1:7" x14ac:dyDescent="0.45">
      <c r="A20" s="37" t="s">
        <v>79</v>
      </c>
      <c r="B20" s="25">
        <v>9.1428571428571428E-2</v>
      </c>
      <c r="C20" s="3">
        <v>9.3023255813953487E-2</v>
      </c>
      <c r="D20" s="6">
        <v>8.98876404494382E-2</v>
      </c>
      <c r="E20" s="23">
        <v>9.1286307053941904E-2</v>
      </c>
      <c r="F20" s="3">
        <v>0.10101010101010101</v>
      </c>
      <c r="G20" s="6">
        <v>8.4507042253521125E-2</v>
      </c>
    </row>
    <row r="21" spans="1:7" x14ac:dyDescent="0.45">
      <c r="A21" s="37" t="s">
        <v>80</v>
      </c>
      <c r="B21" s="25">
        <v>0.08</v>
      </c>
      <c r="C21" s="3">
        <v>6.9767441860465115E-2</v>
      </c>
      <c r="D21" s="6">
        <v>8.98876404494382E-2</v>
      </c>
      <c r="E21" s="23">
        <v>7.0539419087136929E-2</v>
      </c>
      <c r="F21" s="3">
        <v>6.0606060606060608E-2</v>
      </c>
      <c r="G21" s="6">
        <v>7.746478873239436E-2</v>
      </c>
    </row>
    <row r="22" spans="1:7" x14ac:dyDescent="0.45">
      <c r="A22" s="37" t="s">
        <v>81</v>
      </c>
      <c r="B22" s="25">
        <v>4.5714285714285714E-2</v>
      </c>
      <c r="C22" s="3">
        <v>5.8139534883720929E-2</v>
      </c>
      <c r="D22" s="6">
        <v>3.3707865168539325E-2</v>
      </c>
      <c r="E22" s="23">
        <v>4.9792531120331947E-2</v>
      </c>
      <c r="F22" s="3">
        <v>6.0606060606060608E-2</v>
      </c>
      <c r="G22" s="6">
        <v>4.2253521126760563E-2</v>
      </c>
    </row>
    <row r="23" spans="1:7" x14ac:dyDescent="0.45">
      <c r="A23" s="37" t="s">
        <v>82</v>
      </c>
      <c r="B23" s="25">
        <v>0.10857142857142857</v>
      </c>
      <c r="C23" s="3">
        <v>0.10465116279069768</v>
      </c>
      <c r="D23" s="6">
        <v>0.11235955056179775</v>
      </c>
      <c r="E23" s="23">
        <v>9.9585062240663894E-2</v>
      </c>
      <c r="F23" s="3">
        <v>9.0909090909090912E-2</v>
      </c>
      <c r="G23" s="6">
        <v>0.10563380281690141</v>
      </c>
    </row>
    <row r="24" spans="1:7" x14ac:dyDescent="0.45">
      <c r="A24" s="37" t="s">
        <v>83</v>
      </c>
      <c r="B24" s="25">
        <v>0.11428571428571428</v>
      </c>
      <c r="C24" s="3">
        <v>0.10465116279069768</v>
      </c>
      <c r="D24" s="6">
        <v>0.12359550561797752</v>
      </c>
      <c r="E24" s="23">
        <v>0.12448132780082988</v>
      </c>
      <c r="F24" s="3">
        <v>0.1111111111111111</v>
      </c>
      <c r="G24" s="6">
        <v>0.13380281690140844</v>
      </c>
    </row>
    <row r="25" spans="1:7" x14ac:dyDescent="0.45">
      <c r="A25" s="37" t="s">
        <v>84</v>
      </c>
      <c r="B25" s="25">
        <v>7.4285714285714288E-2</v>
      </c>
      <c r="C25" s="3">
        <v>8.1395348837209308E-2</v>
      </c>
      <c r="D25" s="6">
        <v>6.741573033707865E-2</v>
      </c>
      <c r="E25" s="23">
        <v>7.0539419087136929E-2</v>
      </c>
      <c r="F25" s="3">
        <v>7.0707070707070704E-2</v>
      </c>
      <c r="G25" s="6">
        <v>7.0422535211267609E-2</v>
      </c>
    </row>
    <row r="26" spans="1:7" x14ac:dyDescent="0.45">
      <c r="A26" s="37" t="s">
        <v>85</v>
      </c>
      <c r="B26" s="25">
        <v>0.08</v>
      </c>
      <c r="C26" s="3">
        <v>6.9767441860465115E-2</v>
      </c>
      <c r="D26" s="6">
        <v>8.98876404494382E-2</v>
      </c>
      <c r="E26" s="23">
        <v>7.8838174273858919E-2</v>
      </c>
      <c r="F26" s="3">
        <v>7.0707070707070704E-2</v>
      </c>
      <c r="G26" s="6">
        <v>8.4507042253521125E-2</v>
      </c>
    </row>
    <row r="27" spans="1:7" x14ac:dyDescent="0.45">
      <c r="A27" s="37" t="s">
        <v>86</v>
      </c>
      <c r="B27" s="25">
        <v>0.10857142857142857</v>
      </c>
      <c r="C27" s="3">
        <v>0.11627906976744186</v>
      </c>
      <c r="D27" s="6">
        <v>0.10112359550561797</v>
      </c>
      <c r="E27" s="23">
        <v>0.1037344398340249</v>
      </c>
      <c r="F27" s="3">
        <v>0.12121212121212122</v>
      </c>
      <c r="G27" s="6">
        <v>9.154929577464789E-2</v>
      </c>
    </row>
    <row r="28" spans="1:7" x14ac:dyDescent="0.45">
      <c r="A28" s="37" t="s">
        <v>87</v>
      </c>
      <c r="B28" s="25">
        <v>0.13142857142857142</v>
      </c>
      <c r="C28" s="3">
        <v>0.11627906976744186</v>
      </c>
      <c r="D28" s="6">
        <v>0.14606741573033707</v>
      </c>
      <c r="E28" s="23">
        <v>0.13692946058091288</v>
      </c>
      <c r="F28" s="3">
        <v>0.12121212121212122</v>
      </c>
      <c r="G28" s="6">
        <v>0.14788732394366197</v>
      </c>
    </row>
    <row r="29" spans="1:7" x14ac:dyDescent="0.45">
      <c r="A29" s="37" t="s">
        <v>88</v>
      </c>
      <c r="B29" s="25">
        <v>0.08</v>
      </c>
      <c r="C29" s="3">
        <v>5.8139534883720929E-2</v>
      </c>
      <c r="D29" s="6">
        <v>0.10112359550561797</v>
      </c>
      <c r="E29" s="23">
        <v>9.1286307053941904E-2</v>
      </c>
      <c r="F29" s="3">
        <v>6.0606060606060608E-2</v>
      </c>
      <c r="G29" s="6">
        <v>0.11267605633802817</v>
      </c>
    </row>
    <row r="30" spans="1:7" x14ac:dyDescent="0.45">
      <c r="A30" s="37" t="s">
        <v>89</v>
      </c>
      <c r="B30" s="25">
        <v>1.7142857142857144E-2</v>
      </c>
      <c r="C30" s="3">
        <v>2.3255813953488372E-2</v>
      </c>
      <c r="D30" s="6">
        <v>1.1235955056179775E-2</v>
      </c>
      <c r="E30" s="23">
        <v>1.6597510373443983E-2</v>
      </c>
      <c r="F30" s="3">
        <v>2.0202020202020204E-2</v>
      </c>
      <c r="G30" s="6">
        <v>1.4084507042253521E-2</v>
      </c>
    </row>
    <row r="31" spans="1:7" x14ac:dyDescent="0.45">
      <c r="A31" s="37" t="s">
        <v>90</v>
      </c>
      <c r="B31" s="25">
        <v>2.2857142857142857E-2</v>
      </c>
      <c r="C31" s="3">
        <v>2.3255813953488372E-2</v>
      </c>
      <c r="D31" s="6">
        <v>2.247191011235955E-2</v>
      </c>
      <c r="E31" s="23">
        <v>2.0746887966804978E-2</v>
      </c>
      <c r="F31" s="3">
        <v>2.0202020202020204E-2</v>
      </c>
      <c r="G31" s="6">
        <v>2.1126760563380281E-2</v>
      </c>
    </row>
    <row r="32" spans="1:7" x14ac:dyDescent="0.45">
      <c r="A32" s="37" t="s">
        <v>91</v>
      </c>
      <c r="B32" s="25">
        <v>0</v>
      </c>
      <c r="C32" s="3">
        <v>0</v>
      </c>
      <c r="D32" s="6">
        <v>0</v>
      </c>
      <c r="E32" s="23">
        <v>0</v>
      </c>
      <c r="F32" s="3">
        <v>0</v>
      </c>
      <c r="G32" s="6">
        <v>0</v>
      </c>
    </row>
    <row r="33" spans="1:7" x14ac:dyDescent="0.45">
      <c r="A33" s="37" t="s">
        <v>92</v>
      </c>
      <c r="B33" s="25">
        <v>0</v>
      </c>
      <c r="C33" s="3">
        <v>0</v>
      </c>
      <c r="D33" s="6">
        <v>0</v>
      </c>
      <c r="E33" s="23">
        <v>0</v>
      </c>
      <c r="F33" s="3">
        <v>0</v>
      </c>
      <c r="G33" s="6">
        <v>0</v>
      </c>
    </row>
    <row r="34" spans="1:7" x14ac:dyDescent="0.45">
      <c r="A34" s="37" t="s">
        <v>93</v>
      </c>
      <c r="B34" s="25">
        <v>0</v>
      </c>
      <c r="C34" s="3">
        <v>0</v>
      </c>
      <c r="D34" s="6">
        <v>0</v>
      </c>
      <c r="E34" s="23">
        <v>0</v>
      </c>
      <c r="F34" s="3">
        <v>0</v>
      </c>
      <c r="G34" s="6">
        <v>0</v>
      </c>
    </row>
    <row r="35" spans="1:7" ht="14.65" thickBot="1" x14ac:dyDescent="0.5">
      <c r="A35" s="38" t="s">
        <v>94</v>
      </c>
      <c r="B35" s="26">
        <v>0</v>
      </c>
      <c r="C35" s="8">
        <v>0</v>
      </c>
      <c r="D35" s="9">
        <v>0</v>
      </c>
      <c r="E35" s="24">
        <v>0</v>
      </c>
      <c r="F35" s="8">
        <v>0</v>
      </c>
      <c r="G35" s="9">
        <v>0</v>
      </c>
    </row>
    <row r="36" spans="1:7" x14ac:dyDescent="0.45">
      <c r="B36" s="11">
        <f t="shared" ref="B36:G36" si="0">SUM(B12:B35)</f>
        <v>1</v>
      </c>
      <c r="C36" s="11">
        <f t="shared" si="0"/>
        <v>1</v>
      </c>
      <c r="D36" s="11">
        <f t="shared" si="0"/>
        <v>1</v>
      </c>
      <c r="E36" s="11">
        <f t="shared" si="0"/>
        <v>1</v>
      </c>
      <c r="F36" s="11">
        <f t="shared" si="0"/>
        <v>1</v>
      </c>
      <c r="G36" s="11">
        <f t="shared" si="0"/>
        <v>0.99999999999999989</v>
      </c>
    </row>
  </sheetData>
  <mergeCells count="16">
    <mergeCell ref="A1:G2"/>
    <mergeCell ref="A3:G3"/>
    <mergeCell ref="B4:D4"/>
    <mergeCell ref="E4:G4"/>
    <mergeCell ref="B5:D5"/>
    <mergeCell ref="E5:G5"/>
    <mergeCell ref="B9:D9"/>
    <mergeCell ref="E9:G9"/>
    <mergeCell ref="B10:D10"/>
    <mergeCell ref="E10:G10"/>
    <mergeCell ref="B6:D6"/>
    <mergeCell ref="E6:G6"/>
    <mergeCell ref="B7:D7"/>
    <mergeCell ref="E7:G7"/>
    <mergeCell ref="B8:D8"/>
    <mergeCell ref="E8:G8"/>
  </mergeCells>
  <pageMargins left="0.7" right="0.7" top="0.75" bottom="0.75" header="0.3" footer="0.3"/>
  <pageSetup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F2C5-BFCE-407E-AA63-FA241DB9B926}">
  <sheetPr>
    <tabColor rgb="FFFFFF00"/>
  </sheetPr>
  <dimension ref="A1:M36"/>
  <sheetViews>
    <sheetView topLeftCell="A9" workbookViewId="0">
      <selection activeCell="P14" sqref="P14"/>
    </sheetView>
  </sheetViews>
  <sheetFormatPr defaultRowHeight="14.25" x14ac:dyDescent="0.45"/>
  <cols>
    <col min="1" max="4" width="17.796875" customWidth="1"/>
    <col min="5" max="13" width="17.796875" style="1" customWidth="1"/>
  </cols>
  <sheetData>
    <row r="1" spans="1:13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x14ac:dyDescent="0.45">
      <c r="A3" s="99" t="s">
        <v>154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9"/>
    </row>
    <row r="4" spans="1:13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2"/>
    </row>
    <row r="5" spans="1:13" x14ac:dyDescent="0.45">
      <c r="A5" s="36" t="s">
        <v>68</v>
      </c>
      <c r="B5" s="108">
        <v>970</v>
      </c>
      <c r="C5" s="102"/>
      <c r="D5" s="103"/>
      <c r="E5" s="101">
        <v>970</v>
      </c>
      <c r="F5" s="102"/>
      <c r="G5" s="106"/>
      <c r="H5" s="108">
        <v>970</v>
      </c>
      <c r="I5" s="102"/>
      <c r="J5" s="103"/>
      <c r="K5" s="101">
        <v>970</v>
      </c>
      <c r="L5" s="102"/>
      <c r="M5" s="103"/>
    </row>
    <row r="6" spans="1:13" x14ac:dyDescent="0.45">
      <c r="A6" s="37" t="s">
        <v>0</v>
      </c>
      <c r="B6" s="99" t="s">
        <v>125</v>
      </c>
      <c r="C6" s="88"/>
      <c r="D6" s="89"/>
      <c r="E6" s="87" t="s">
        <v>125</v>
      </c>
      <c r="F6" s="88"/>
      <c r="G6" s="104"/>
      <c r="H6" s="99" t="s">
        <v>125</v>
      </c>
      <c r="I6" s="88"/>
      <c r="J6" s="89"/>
      <c r="K6" s="87" t="s">
        <v>125</v>
      </c>
      <c r="L6" s="88"/>
      <c r="M6" s="89"/>
    </row>
    <row r="7" spans="1:13" x14ac:dyDescent="0.45">
      <c r="A7" s="37" t="s">
        <v>54</v>
      </c>
      <c r="B7" s="99" t="s">
        <v>126</v>
      </c>
      <c r="C7" s="88"/>
      <c r="D7" s="89"/>
      <c r="E7" s="87" t="s">
        <v>126</v>
      </c>
      <c r="F7" s="88"/>
      <c r="G7" s="104"/>
      <c r="H7" s="99" t="s">
        <v>126</v>
      </c>
      <c r="I7" s="88"/>
      <c r="J7" s="89"/>
      <c r="K7" s="87" t="s">
        <v>126</v>
      </c>
      <c r="L7" s="88"/>
      <c r="M7" s="89"/>
    </row>
    <row r="8" spans="1:13" x14ac:dyDescent="0.45">
      <c r="A8" s="37" t="s">
        <v>59</v>
      </c>
      <c r="B8" s="99" t="s">
        <v>60</v>
      </c>
      <c r="C8" s="88"/>
      <c r="D8" s="89"/>
      <c r="E8" s="87" t="s">
        <v>127</v>
      </c>
      <c r="F8" s="88"/>
      <c r="G8" s="104"/>
      <c r="H8" s="99" t="s">
        <v>61</v>
      </c>
      <c r="I8" s="88"/>
      <c r="J8" s="89"/>
      <c r="K8" s="87" t="s">
        <v>63</v>
      </c>
      <c r="L8" s="88"/>
      <c r="M8" s="89"/>
    </row>
    <row r="9" spans="1:13" ht="14.65" thickBot="1" x14ac:dyDescent="0.5">
      <c r="A9" s="38" t="s">
        <v>64</v>
      </c>
      <c r="B9" s="100">
        <v>4</v>
      </c>
      <c r="C9" s="91"/>
      <c r="D9" s="92"/>
      <c r="E9" s="90">
        <v>7</v>
      </c>
      <c r="F9" s="91"/>
      <c r="G9" s="105"/>
      <c r="H9" s="100">
        <v>9</v>
      </c>
      <c r="I9" s="91"/>
      <c r="J9" s="92"/>
      <c r="K9" s="90">
        <v>3</v>
      </c>
      <c r="L9" s="91"/>
      <c r="M9" s="92"/>
    </row>
    <row r="10" spans="1:13" x14ac:dyDescent="0.45">
      <c r="A10" s="39"/>
      <c r="B10" s="137" t="s">
        <v>134</v>
      </c>
      <c r="C10" s="85"/>
      <c r="D10" s="86"/>
      <c r="E10" s="136" t="s">
        <v>134</v>
      </c>
      <c r="F10" s="85"/>
      <c r="G10" s="109"/>
      <c r="H10" s="137" t="s">
        <v>134</v>
      </c>
      <c r="I10" s="85"/>
      <c r="J10" s="86"/>
      <c r="K10" s="136" t="s">
        <v>134</v>
      </c>
      <c r="L10" s="85"/>
      <c r="M10" s="86"/>
    </row>
    <row r="11" spans="1:13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10" t="s">
        <v>95</v>
      </c>
      <c r="F11" s="2" t="s">
        <v>66</v>
      </c>
      <c r="G11" s="5" t="s">
        <v>67</v>
      </c>
      <c r="H11" s="10" t="s">
        <v>95</v>
      </c>
      <c r="I11" s="2" t="s">
        <v>66</v>
      </c>
      <c r="J11" s="5" t="s">
        <v>67</v>
      </c>
      <c r="K11" s="10" t="s">
        <v>95</v>
      </c>
      <c r="L11" s="2" t="s">
        <v>66</v>
      </c>
      <c r="M11" s="5" t="s">
        <v>67</v>
      </c>
    </row>
    <row r="12" spans="1:13" x14ac:dyDescent="0.45">
      <c r="A12" s="37" t="s">
        <v>71</v>
      </c>
      <c r="B12" s="47">
        <v>2.935995302407516E-3</v>
      </c>
      <c r="C12" s="32"/>
      <c r="D12" s="34"/>
      <c r="E12" s="23">
        <v>1.6326530612244899E-3</v>
      </c>
      <c r="F12" s="3"/>
      <c r="G12" s="20"/>
      <c r="H12" s="25">
        <v>3.909643788010426E-3</v>
      </c>
      <c r="I12" s="3"/>
      <c r="J12" s="6"/>
      <c r="K12" s="23">
        <v>4.6033994334277618E-3</v>
      </c>
      <c r="L12" s="3"/>
      <c r="M12" s="6"/>
    </row>
    <row r="13" spans="1:13" x14ac:dyDescent="0.45">
      <c r="A13" s="37" t="s">
        <v>72</v>
      </c>
      <c r="B13" s="47">
        <v>5.8719906048150322E-4</v>
      </c>
      <c r="C13" s="32"/>
      <c r="D13" s="34"/>
      <c r="E13" s="23">
        <v>0</v>
      </c>
      <c r="F13" s="3"/>
      <c r="G13" s="20"/>
      <c r="H13" s="25">
        <v>2.6064291920069507E-3</v>
      </c>
      <c r="I13" s="3"/>
      <c r="J13" s="6"/>
      <c r="K13" s="23">
        <v>3.1869688385269121E-3</v>
      </c>
      <c r="L13" s="3"/>
      <c r="M13" s="6"/>
    </row>
    <row r="14" spans="1:13" x14ac:dyDescent="0.45">
      <c r="A14" s="37" t="s">
        <v>73</v>
      </c>
      <c r="B14" s="47">
        <v>5.8719906048150322E-4</v>
      </c>
      <c r="C14" s="32"/>
      <c r="D14" s="34"/>
      <c r="E14" s="23">
        <v>4.0816326530612246E-4</v>
      </c>
      <c r="F14" s="3"/>
      <c r="G14" s="20"/>
      <c r="H14" s="25">
        <v>2.1720243266724589E-3</v>
      </c>
      <c r="I14" s="3"/>
      <c r="J14" s="6"/>
      <c r="K14" s="23">
        <v>1.4164305949008499E-3</v>
      </c>
      <c r="L14" s="3"/>
      <c r="M14" s="6"/>
    </row>
    <row r="15" spans="1:13" x14ac:dyDescent="0.45">
      <c r="A15" s="37" t="s">
        <v>74</v>
      </c>
      <c r="B15" s="47">
        <v>1.7615971814445098E-3</v>
      </c>
      <c r="C15" s="32"/>
      <c r="D15" s="34"/>
      <c r="E15" s="23">
        <v>1.2244897959183673E-3</v>
      </c>
      <c r="F15" s="3"/>
      <c r="G15" s="20"/>
      <c r="H15" s="25">
        <v>2.6064291920069507E-3</v>
      </c>
      <c r="I15" s="3"/>
      <c r="J15" s="6"/>
      <c r="K15" s="23">
        <v>1.0623229461756375E-3</v>
      </c>
      <c r="L15" s="3"/>
      <c r="M15" s="6"/>
    </row>
    <row r="16" spans="1:13" x14ac:dyDescent="0.45">
      <c r="A16" s="37" t="s">
        <v>75</v>
      </c>
      <c r="B16" s="47">
        <v>5.8719906048150322E-4</v>
      </c>
      <c r="C16" s="32"/>
      <c r="D16" s="34"/>
      <c r="E16" s="23">
        <v>4.489795918367347E-3</v>
      </c>
      <c r="F16" s="3"/>
      <c r="G16" s="20"/>
      <c r="H16" s="25">
        <v>0</v>
      </c>
      <c r="I16" s="3"/>
      <c r="J16" s="6"/>
      <c r="K16" s="23">
        <v>1.4164305949008499E-3</v>
      </c>
      <c r="L16" s="3"/>
      <c r="M16" s="6"/>
    </row>
    <row r="17" spans="1:13" x14ac:dyDescent="0.45">
      <c r="A17" s="37" t="s">
        <v>76</v>
      </c>
      <c r="B17" s="47">
        <v>1.0569583088667059E-2</v>
      </c>
      <c r="C17" s="32"/>
      <c r="D17" s="34"/>
      <c r="E17" s="23">
        <v>6.1224489795918364E-3</v>
      </c>
      <c r="F17" s="3"/>
      <c r="G17" s="20"/>
      <c r="H17" s="25">
        <v>1.3032145960034753E-3</v>
      </c>
      <c r="I17" s="3"/>
      <c r="J17" s="6"/>
      <c r="K17" s="23">
        <v>1.7705382436260624E-3</v>
      </c>
      <c r="L17" s="3"/>
      <c r="M17" s="6"/>
    </row>
    <row r="18" spans="1:13" x14ac:dyDescent="0.45">
      <c r="A18" s="37" t="s">
        <v>77</v>
      </c>
      <c r="B18" s="47">
        <v>4.6975924838520255E-2</v>
      </c>
      <c r="C18" s="32"/>
      <c r="D18" s="34"/>
      <c r="E18" s="23">
        <v>1.9591836734693877E-2</v>
      </c>
      <c r="F18" s="3"/>
      <c r="G18" s="20"/>
      <c r="H18" s="25">
        <v>2.1720243266724589E-3</v>
      </c>
      <c r="I18" s="3"/>
      <c r="J18" s="6"/>
      <c r="K18" s="23">
        <v>8.1444759206798865E-3</v>
      </c>
      <c r="L18" s="3"/>
      <c r="M18" s="6"/>
    </row>
    <row r="19" spans="1:13" x14ac:dyDescent="0.45">
      <c r="A19" s="37" t="s">
        <v>78</v>
      </c>
      <c r="B19" s="47">
        <v>6.2243100411039344E-2</v>
      </c>
      <c r="C19" s="32"/>
      <c r="D19" s="34"/>
      <c r="E19" s="23">
        <v>3.8367346938775512E-2</v>
      </c>
      <c r="F19" s="3"/>
      <c r="G19" s="20"/>
      <c r="H19" s="25">
        <v>1.3032145960034752E-2</v>
      </c>
      <c r="I19" s="3"/>
      <c r="J19" s="6"/>
      <c r="K19" s="23">
        <v>1.5580736543909348E-2</v>
      </c>
      <c r="L19" s="3"/>
      <c r="M19" s="6"/>
    </row>
    <row r="20" spans="1:13" x14ac:dyDescent="0.45">
      <c r="A20" s="37" t="s">
        <v>79</v>
      </c>
      <c r="B20" s="47">
        <v>0.18027011156782149</v>
      </c>
      <c r="C20" s="32"/>
      <c r="D20" s="34"/>
      <c r="E20" s="23">
        <v>0.12</v>
      </c>
      <c r="F20" s="3"/>
      <c r="G20" s="20"/>
      <c r="H20" s="25">
        <v>2.2589052997393572E-2</v>
      </c>
      <c r="I20" s="3"/>
      <c r="J20" s="6"/>
      <c r="K20" s="23">
        <v>1.9830028328611898E-2</v>
      </c>
      <c r="L20" s="3"/>
      <c r="M20" s="6"/>
    </row>
    <row r="21" spans="1:13" x14ac:dyDescent="0.45">
      <c r="A21" s="37" t="s">
        <v>80</v>
      </c>
      <c r="B21" s="47">
        <v>5.2260716382853789E-2</v>
      </c>
      <c r="C21" s="32"/>
      <c r="D21" s="34"/>
      <c r="E21" s="23">
        <v>3.6734693877551024E-2</v>
      </c>
      <c r="F21" s="3"/>
      <c r="G21" s="20"/>
      <c r="H21" s="25">
        <v>3.3883579496090353E-2</v>
      </c>
      <c r="I21" s="3"/>
      <c r="J21" s="6"/>
      <c r="K21" s="23">
        <v>3.4702549575070823E-2</v>
      </c>
      <c r="L21" s="3"/>
      <c r="M21" s="6"/>
    </row>
    <row r="22" spans="1:13" x14ac:dyDescent="0.45">
      <c r="A22" s="37" t="s">
        <v>81</v>
      </c>
      <c r="B22" s="47">
        <v>5.9307105108631825E-2</v>
      </c>
      <c r="C22" s="32"/>
      <c r="D22" s="34"/>
      <c r="E22" s="23">
        <v>5.2653061224489796E-2</v>
      </c>
      <c r="F22" s="3"/>
      <c r="G22" s="20"/>
      <c r="H22" s="25">
        <v>4.9956559513466552E-2</v>
      </c>
      <c r="I22" s="3"/>
      <c r="J22" s="6"/>
      <c r="K22" s="23">
        <v>6.2677053824362602E-2</v>
      </c>
      <c r="L22" s="3"/>
      <c r="M22" s="6"/>
    </row>
    <row r="23" spans="1:13" x14ac:dyDescent="0.45">
      <c r="A23" s="37" t="s">
        <v>82</v>
      </c>
      <c r="B23" s="47">
        <v>5.6371109806224312E-2</v>
      </c>
      <c r="C23" s="32"/>
      <c r="D23" s="34"/>
      <c r="E23" s="23">
        <v>6.4489795918367343E-2</v>
      </c>
      <c r="F23" s="3"/>
      <c r="G23" s="20"/>
      <c r="H23" s="25">
        <v>7.993049522154648E-2</v>
      </c>
      <c r="I23" s="3"/>
      <c r="J23" s="6"/>
      <c r="K23" s="23">
        <v>7.0467422096317275E-2</v>
      </c>
      <c r="L23" s="3"/>
      <c r="M23" s="6"/>
    </row>
    <row r="24" spans="1:13" x14ac:dyDescent="0.45">
      <c r="A24" s="37" t="s">
        <v>83</v>
      </c>
      <c r="B24" s="47">
        <v>0.14210217263652378</v>
      </c>
      <c r="C24" s="32"/>
      <c r="D24" s="34"/>
      <c r="E24" s="23">
        <v>8.9795918367346933E-2</v>
      </c>
      <c r="F24" s="3"/>
      <c r="G24" s="20"/>
      <c r="H24" s="25">
        <v>9.9478714161598605E-2</v>
      </c>
      <c r="I24" s="3"/>
      <c r="J24" s="6"/>
      <c r="K24" s="23">
        <v>8.4631728045325774E-2</v>
      </c>
      <c r="L24" s="3"/>
      <c r="M24" s="6"/>
    </row>
    <row r="25" spans="1:13" x14ac:dyDescent="0.45">
      <c r="A25" s="37" t="s">
        <v>84</v>
      </c>
      <c r="B25" s="47">
        <v>7.6923076923076927E-2</v>
      </c>
      <c r="C25" s="32"/>
      <c r="D25" s="34"/>
      <c r="E25" s="23">
        <v>8.2040816326530611E-2</v>
      </c>
      <c r="F25" s="3"/>
      <c r="G25" s="20"/>
      <c r="H25" s="25">
        <v>0.1255430060816681</v>
      </c>
      <c r="I25" s="3"/>
      <c r="J25" s="6"/>
      <c r="K25" s="23">
        <v>0.11756373937677053</v>
      </c>
      <c r="L25" s="3"/>
      <c r="M25" s="6"/>
    </row>
    <row r="26" spans="1:13" x14ac:dyDescent="0.45">
      <c r="A26" s="37" t="s">
        <v>85</v>
      </c>
      <c r="B26" s="47">
        <v>5.1673517322372284E-2</v>
      </c>
      <c r="C26" s="32"/>
      <c r="D26" s="34"/>
      <c r="E26" s="23">
        <v>0.10285714285714286</v>
      </c>
      <c r="F26" s="3"/>
      <c r="G26" s="20"/>
      <c r="H26" s="25">
        <v>0.15595134665508253</v>
      </c>
      <c r="I26" s="3"/>
      <c r="J26" s="6"/>
      <c r="K26" s="23">
        <v>0.13279036827195467</v>
      </c>
      <c r="L26" s="3"/>
      <c r="M26" s="6"/>
    </row>
    <row r="27" spans="1:13" x14ac:dyDescent="0.45">
      <c r="A27" s="37" t="s">
        <v>86</v>
      </c>
      <c r="B27" s="47">
        <v>8.1620669406928956E-2</v>
      </c>
      <c r="C27" s="32"/>
      <c r="D27" s="34"/>
      <c r="E27" s="23">
        <v>0.11959183673469388</v>
      </c>
      <c r="F27" s="3"/>
      <c r="G27" s="20"/>
      <c r="H27" s="25">
        <v>0.14291920069504779</v>
      </c>
      <c r="I27" s="3"/>
      <c r="J27" s="6"/>
      <c r="K27" s="23">
        <v>0.12216713881019831</v>
      </c>
      <c r="L27" s="3"/>
      <c r="M27" s="6"/>
    </row>
    <row r="28" spans="1:13" x14ac:dyDescent="0.45">
      <c r="A28" s="37" t="s">
        <v>87</v>
      </c>
      <c r="B28" s="47">
        <v>5.6371109806224312E-2</v>
      </c>
      <c r="C28" s="32"/>
      <c r="D28" s="34"/>
      <c r="E28" s="23">
        <v>0.1036734693877551</v>
      </c>
      <c r="F28" s="3"/>
      <c r="G28" s="20"/>
      <c r="H28" s="25">
        <v>0.12901824500434406</v>
      </c>
      <c r="I28" s="3"/>
      <c r="J28" s="6"/>
      <c r="K28" s="23">
        <v>0.11473087818696884</v>
      </c>
      <c r="L28" s="3"/>
      <c r="M28" s="6"/>
    </row>
    <row r="29" spans="1:13" x14ac:dyDescent="0.45">
      <c r="A29" s="37" t="s">
        <v>88</v>
      </c>
      <c r="B29" s="47">
        <v>4.2278332354668234E-2</v>
      </c>
      <c r="C29" s="32"/>
      <c r="D29" s="34"/>
      <c r="E29" s="23">
        <v>5.4693877551020405E-2</v>
      </c>
      <c r="F29" s="3"/>
      <c r="G29" s="20"/>
      <c r="H29" s="25">
        <v>6.7767158992180707E-2</v>
      </c>
      <c r="I29" s="3"/>
      <c r="J29" s="6"/>
      <c r="K29" s="23">
        <v>7.2237960339943341E-2</v>
      </c>
      <c r="L29" s="3"/>
      <c r="M29" s="6"/>
    </row>
    <row r="30" spans="1:13" x14ac:dyDescent="0.45">
      <c r="A30" s="37" t="s">
        <v>89</v>
      </c>
      <c r="B30" s="47">
        <v>2.8185554903112156E-2</v>
      </c>
      <c r="C30" s="32"/>
      <c r="D30" s="34"/>
      <c r="E30" s="23">
        <v>4.3265306122448978E-2</v>
      </c>
      <c r="F30" s="3"/>
      <c r="G30" s="20"/>
      <c r="H30" s="25">
        <v>2.3892267593397045E-2</v>
      </c>
      <c r="I30" s="3"/>
      <c r="J30" s="6"/>
      <c r="K30" s="23">
        <v>5.5240793201133141E-2</v>
      </c>
      <c r="L30" s="3"/>
      <c r="M30" s="6"/>
    </row>
    <row r="31" spans="1:13" x14ac:dyDescent="0.45">
      <c r="A31" s="37" t="s">
        <v>90</v>
      </c>
      <c r="B31" s="47">
        <v>1.4092777451556078E-2</v>
      </c>
      <c r="C31" s="32"/>
      <c r="D31" s="34"/>
      <c r="E31" s="23">
        <v>1.5918367346938776E-2</v>
      </c>
      <c r="F31" s="3"/>
      <c r="G31" s="20"/>
      <c r="H31" s="25">
        <v>9.99131190269331E-3</v>
      </c>
      <c r="I31" s="3"/>
      <c r="J31" s="6"/>
      <c r="K31" s="23">
        <v>3.0807365439093484E-2</v>
      </c>
      <c r="L31" s="3"/>
      <c r="M31" s="6"/>
    </row>
    <row r="32" spans="1:13" x14ac:dyDescent="0.45">
      <c r="A32" s="37" t="s">
        <v>91</v>
      </c>
      <c r="B32" s="47">
        <v>1.4679976512037582E-2</v>
      </c>
      <c r="C32" s="32"/>
      <c r="D32" s="34"/>
      <c r="E32" s="23">
        <v>1.4693877551020407E-2</v>
      </c>
      <c r="F32" s="3"/>
      <c r="G32" s="20"/>
      <c r="H32" s="25">
        <v>8.6880973066898355E-3</v>
      </c>
      <c r="I32" s="3"/>
      <c r="J32" s="6"/>
      <c r="K32" s="23">
        <v>2.2308781869688384E-2</v>
      </c>
      <c r="L32" s="3"/>
      <c r="M32" s="6"/>
    </row>
    <row r="33" spans="1:13" x14ac:dyDescent="0.45">
      <c r="A33" s="37" t="s">
        <v>92</v>
      </c>
      <c r="B33" s="47">
        <v>6.4591896652965355E-3</v>
      </c>
      <c r="C33" s="32"/>
      <c r="D33" s="34"/>
      <c r="E33" s="23">
        <v>1.2244897959183673E-2</v>
      </c>
      <c r="F33" s="3"/>
      <c r="G33" s="20"/>
      <c r="H33" s="25">
        <v>7.819287576020852E-3</v>
      </c>
      <c r="I33" s="3"/>
      <c r="J33" s="6"/>
      <c r="K33" s="23">
        <v>1.3810198300283285E-2</v>
      </c>
      <c r="L33" s="3"/>
      <c r="M33" s="6"/>
    </row>
    <row r="34" spans="1:13" x14ac:dyDescent="0.45">
      <c r="A34" s="37" t="s">
        <v>93</v>
      </c>
      <c r="B34" s="47">
        <v>7.6335877862595417E-3</v>
      </c>
      <c r="C34" s="32"/>
      <c r="D34" s="34"/>
      <c r="E34" s="23">
        <v>1.2244897959183673E-2</v>
      </c>
      <c r="F34" s="3"/>
      <c r="G34" s="20"/>
      <c r="H34" s="25">
        <v>1.1294526498696786E-2</v>
      </c>
      <c r="I34" s="3"/>
      <c r="J34" s="6"/>
      <c r="K34" s="23">
        <v>6.7280453257790368E-3</v>
      </c>
      <c r="L34" s="3"/>
      <c r="M34" s="6"/>
    </row>
    <row r="35" spans="1:13" ht="14.65" thickBot="1" x14ac:dyDescent="0.5">
      <c r="A35" s="38" t="s">
        <v>94</v>
      </c>
      <c r="B35" s="48">
        <v>3.5231943628890195E-3</v>
      </c>
      <c r="C35" s="33"/>
      <c r="D35" s="35"/>
      <c r="E35" s="24">
        <v>3.2653061224489797E-3</v>
      </c>
      <c r="F35" s="8"/>
      <c r="G35" s="21"/>
      <c r="H35" s="26">
        <v>3.4752389226759338E-3</v>
      </c>
      <c r="I35" s="8"/>
      <c r="J35" s="9"/>
      <c r="K35" s="24">
        <v>2.124645892351275E-3</v>
      </c>
      <c r="L35" s="8"/>
      <c r="M35" s="9"/>
    </row>
    <row r="36" spans="1:13" x14ac:dyDescent="0.45">
      <c r="B36" s="11">
        <f>SUM(B12:B35)</f>
        <v>1</v>
      </c>
      <c r="C36" s="11"/>
      <c r="D36" s="11"/>
      <c r="E36" s="11">
        <f>SUM(E12:E35)</f>
        <v>1</v>
      </c>
      <c r="F36" s="11"/>
      <c r="G36" s="11"/>
      <c r="H36" s="11">
        <f>SUM(H12:H35)</f>
        <v>1</v>
      </c>
      <c r="I36" s="11"/>
      <c r="J36" s="11"/>
      <c r="K36" s="11">
        <f>SUM(K12:K35)</f>
        <v>1</v>
      </c>
      <c r="L36" s="11"/>
      <c r="M36" s="11"/>
    </row>
  </sheetData>
  <mergeCells count="27"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A1:M2"/>
    <mergeCell ref="A3:M3"/>
    <mergeCell ref="A4:M4"/>
    <mergeCell ref="B5:D5"/>
    <mergeCell ref="E5:G5"/>
    <mergeCell ref="H5:J5"/>
    <mergeCell ref="K5:M5"/>
  </mergeCells>
  <pageMargins left="0.7" right="0.7" top="0.75" bottom="0.75" header="0.3" footer="0.3"/>
  <pageSetup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C275-00D0-4AD6-BFA3-D4EA4B370C5F}">
  <sheetPr>
    <tabColor rgb="FFFFFF00"/>
  </sheetPr>
  <dimension ref="A1:J36"/>
  <sheetViews>
    <sheetView topLeftCell="A4" workbookViewId="0">
      <selection activeCell="K38" sqref="K38"/>
    </sheetView>
  </sheetViews>
  <sheetFormatPr defaultRowHeight="14.25" x14ac:dyDescent="0.45"/>
  <cols>
    <col min="1" max="1" width="17.796875" customWidth="1"/>
    <col min="2" max="10" width="17.796875" style="1" customWidth="1"/>
  </cols>
  <sheetData>
    <row r="1" spans="1:10" ht="15" customHeight="1" x14ac:dyDescent="0.45">
      <c r="A1" s="93" t="s">
        <v>70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" customHeight="1" x14ac:dyDescent="0.45">
      <c r="A2" s="96"/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45">
      <c r="A3" s="99" t="s">
        <v>157</v>
      </c>
      <c r="B3" s="88"/>
      <c r="C3" s="88"/>
      <c r="D3" s="88"/>
      <c r="E3" s="88"/>
      <c r="F3" s="88"/>
      <c r="G3" s="88"/>
      <c r="H3" s="88"/>
      <c r="I3" s="88"/>
      <c r="J3" s="89"/>
    </row>
    <row r="4" spans="1:10" ht="14.65" thickBot="1" x14ac:dyDescent="0.5">
      <c r="A4" s="100"/>
      <c r="B4" s="91"/>
      <c r="C4" s="91"/>
      <c r="D4" s="91"/>
      <c r="E4" s="91"/>
      <c r="F4" s="91"/>
      <c r="G4" s="91"/>
      <c r="H4" s="91"/>
      <c r="I4" s="91"/>
      <c r="J4" s="92"/>
    </row>
    <row r="5" spans="1:10" x14ac:dyDescent="0.45">
      <c r="A5" s="36" t="s">
        <v>68</v>
      </c>
      <c r="B5" s="108">
        <v>971</v>
      </c>
      <c r="C5" s="102"/>
      <c r="D5" s="103"/>
      <c r="E5" s="101">
        <v>971</v>
      </c>
      <c r="F5" s="102"/>
      <c r="G5" s="106"/>
      <c r="H5" s="108">
        <v>971</v>
      </c>
      <c r="I5" s="102"/>
      <c r="J5" s="103"/>
    </row>
    <row r="6" spans="1:10" x14ac:dyDescent="0.45">
      <c r="A6" s="37" t="s">
        <v>0</v>
      </c>
      <c r="B6" s="99" t="s">
        <v>202</v>
      </c>
      <c r="C6" s="88"/>
      <c r="D6" s="89"/>
      <c r="E6" s="99" t="s">
        <v>202</v>
      </c>
      <c r="F6" s="88"/>
      <c r="G6" s="89"/>
      <c r="H6" s="99" t="s">
        <v>202</v>
      </c>
      <c r="I6" s="88"/>
      <c r="J6" s="89"/>
    </row>
    <row r="7" spans="1:10" x14ac:dyDescent="0.45">
      <c r="A7" s="37" t="s">
        <v>54</v>
      </c>
      <c r="B7" s="99" t="s">
        <v>128</v>
      </c>
      <c r="C7" s="88"/>
      <c r="D7" s="89"/>
      <c r="E7" s="87" t="s">
        <v>128</v>
      </c>
      <c r="F7" s="88"/>
      <c r="G7" s="104"/>
      <c r="H7" s="99" t="s">
        <v>128</v>
      </c>
      <c r="I7" s="88"/>
      <c r="J7" s="89"/>
    </row>
    <row r="8" spans="1:10" x14ac:dyDescent="0.45">
      <c r="A8" s="37" t="s">
        <v>59</v>
      </c>
      <c r="B8" s="99" t="s">
        <v>60</v>
      </c>
      <c r="C8" s="88"/>
      <c r="D8" s="89"/>
      <c r="E8" s="87" t="s">
        <v>61</v>
      </c>
      <c r="F8" s="88"/>
      <c r="G8" s="104"/>
      <c r="H8" s="99" t="s">
        <v>63</v>
      </c>
      <c r="I8" s="88"/>
      <c r="J8" s="89"/>
    </row>
    <row r="9" spans="1:10" ht="14.65" thickBot="1" x14ac:dyDescent="0.5">
      <c r="A9" s="38" t="s">
        <v>64</v>
      </c>
      <c r="B9" s="100">
        <v>2</v>
      </c>
      <c r="C9" s="91"/>
      <c r="D9" s="92"/>
      <c r="E9" s="90">
        <v>2</v>
      </c>
      <c r="F9" s="91"/>
      <c r="G9" s="105"/>
      <c r="H9" s="100">
        <v>2</v>
      </c>
      <c r="I9" s="91"/>
      <c r="J9" s="92"/>
    </row>
    <row r="10" spans="1:10" x14ac:dyDescent="0.45">
      <c r="A10" s="44"/>
      <c r="B10" s="108" t="s">
        <v>134</v>
      </c>
      <c r="C10" s="102"/>
      <c r="D10" s="103"/>
      <c r="E10" s="101" t="s">
        <v>134</v>
      </c>
      <c r="F10" s="102"/>
      <c r="G10" s="106"/>
      <c r="H10" s="108" t="s">
        <v>134</v>
      </c>
      <c r="I10" s="102"/>
      <c r="J10" s="103"/>
    </row>
    <row r="11" spans="1:10" x14ac:dyDescent="0.45">
      <c r="A11" s="37" t="s">
        <v>65</v>
      </c>
      <c r="B11" s="10" t="s">
        <v>95</v>
      </c>
      <c r="C11" s="2" t="s">
        <v>66</v>
      </c>
      <c r="D11" s="5" t="s">
        <v>67</v>
      </c>
      <c r="E11" s="22" t="s">
        <v>95</v>
      </c>
      <c r="F11" s="2" t="s">
        <v>66</v>
      </c>
      <c r="G11" s="14" t="s">
        <v>67</v>
      </c>
      <c r="H11" s="10" t="s">
        <v>95</v>
      </c>
      <c r="I11" s="2" t="s">
        <v>66</v>
      </c>
      <c r="J11" s="5" t="s">
        <v>67</v>
      </c>
    </row>
    <row r="12" spans="1:10" x14ac:dyDescent="0.45">
      <c r="A12" s="37" t="s">
        <v>71</v>
      </c>
      <c r="B12" s="25">
        <v>0</v>
      </c>
      <c r="C12" s="3">
        <v>0</v>
      </c>
      <c r="D12" s="6">
        <v>0</v>
      </c>
      <c r="E12" s="23">
        <v>1.3888888888888889E-3</v>
      </c>
      <c r="F12" s="3">
        <v>0</v>
      </c>
      <c r="G12" s="20">
        <v>2.7816411682892906E-3</v>
      </c>
      <c r="H12" s="25">
        <v>0</v>
      </c>
      <c r="I12" s="3">
        <v>0</v>
      </c>
      <c r="J12" s="6">
        <v>0</v>
      </c>
    </row>
    <row r="13" spans="1:10" x14ac:dyDescent="0.45">
      <c r="A13" s="37" t="s">
        <v>72</v>
      </c>
      <c r="B13" s="25">
        <v>6.8728522336769765E-4</v>
      </c>
      <c r="C13" s="3">
        <v>0</v>
      </c>
      <c r="D13" s="6">
        <v>1.3774104683195593E-3</v>
      </c>
      <c r="E13" s="23">
        <v>0</v>
      </c>
      <c r="F13" s="3">
        <v>0</v>
      </c>
      <c r="G13" s="20">
        <v>0</v>
      </c>
      <c r="H13" s="25">
        <v>0</v>
      </c>
      <c r="I13" s="3">
        <v>0</v>
      </c>
      <c r="J13" s="6">
        <v>0</v>
      </c>
    </row>
    <row r="14" spans="1:10" x14ac:dyDescent="0.45">
      <c r="A14" s="37" t="s">
        <v>73</v>
      </c>
      <c r="B14" s="25">
        <v>0</v>
      </c>
      <c r="C14" s="3">
        <v>0</v>
      </c>
      <c r="D14" s="6">
        <v>0</v>
      </c>
      <c r="E14" s="23">
        <v>0</v>
      </c>
      <c r="F14" s="3">
        <v>0</v>
      </c>
      <c r="G14" s="20">
        <v>0</v>
      </c>
      <c r="H14" s="25">
        <v>0</v>
      </c>
      <c r="I14" s="3">
        <v>0</v>
      </c>
      <c r="J14" s="6">
        <v>0</v>
      </c>
    </row>
    <row r="15" spans="1:10" x14ac:dyDescent="0.45">
      <c r="A15" s="37" t="s">
        <v>74</v>
      </c>
      <c r="B15" s="25">
        <v>2.0618556701030928E-3</v>
      </c>
      <c r="C15" s="3">
        <v>2.7434842249657062E-3</v>
      </c>
      <c r="D15" s="6">
        <v>1.3774104683195593E-3</v>
      </c>
      <c r="E15" s="23">
        <v>0</v>
      </c>
      <c r="F15" s="3">
        <v>0</v>
      </c>
      <c r="G15" s="20">
        <v>0</v>
      </c>
      <c r="H15" s="25">
        <v>0</v>
      </c>
      <c r="I15" s="3">
        <v>0</v>
      </c>
      <c r="J15" s="6">
        <v>0</v>
      </c>
    </row>
    <row r="16" spans="1:10" x14ac:dyDescent="0.45">
      <c r="A16" s="37" t="s">
        <v>75</v>
      </c>
      <c r="B16" s="25">
        <v>0</v>
      </c>
      <c r="C16" s="3">
        <v>0</v>
      </c>
      <c r="D16" s="6">
        <v>0</v>
      </c>
      <c r="E16" s="23">
        <v>0</v>
      </c>
      <c r="F16" s="3">
        <v>0</v>
      </c>
      <c r="G16" s="20">
        <v>0</v>
      </c>
      <c r="H16" s="25">
        <v>0</v>
      </c>
      <c r="I16" s="3">
        <v>0</v>
      </c>
      <c r="J16" s="6">
        <v>0</v>
      </c>
    </row>
    <row r="17" spans="1:10" x14ac:dyDescent="0.45">
      <c r="A17" s="37" t="s">
        <v>76</v>
      </c>
      <c r="B17" s="25">
        <v>0</v>
      </c>
      <c r="C17" s="3">
        <v>0</v>
      </c>
      <c r="D17" s="6">
        <v>0</v>
      </c>
      <c r="E17" s="23">
        <v>0</v>
      </c>
      <c r="F17" s="3">
        <v>0</v>
      </c>
      <c r="G17" s="20">
        <v>0</v>
      </c>
      <c r="H17" s="25">
        <v>0</v>
      </c>
      <c r="I17" s="3">
        <v>0</v>
      </c>
      <c r="J17" s="6">
        <v>0</v>
      </c>
    </row>
    <row r="18" spans="1:10" x14ac:dyDescent="0.45">
      <c r="A18" s="37" t="s">
        <v>77</v>
      </c>
      <c r="B18" s="25">
        <v>0</v>
      </c>
      <c r="C18" s="3">
        <v>0</v>
      </c>
      <c r="D18" s="6">
        <v>0</v>
      </c>
      <c r="E18" s="23">
        <v>0</v>
      </c>
      <c r="F18" s="3">
        <v>0</v>
      </c>
      <c r="G18" s="20">
        <v>0</v>
      </c>
      <c r="H18" s="25">
        <v>2.3584905660377358E-3</v>
      </c>
      <c r="I18" s="3">
        <v>4.6948356807511738E-3</v>
      </c>
      <c r="J18" s="6">
        <v>0</v>
      </c>
    </row>
    <row r="19" spans="1:10" x14ac:dyDescent="0.45">
      <c r="A19" s="37" t="s">
        <v>78</v>
      </c>
      <c r="B19" s="25">
        <v>2.0618556701030928E-3</v>
      </c>
      <c r="C19" s="3">
        <v>2.7434842249657062E-3</v>
      </c>
      <c r="D19" s="6">
        <v>1.3774104683195593E-3</v>
      </c>
      <c r="E19" s="23">
        <v>0</v>
      </c>
      <c r="F19" s="3">
        <v>0</v>
      </c>
      <c r="G19" s="20">
        <v>0</v>
      </c>
      <c r="H19" s="25">
        <v>2.3584905660377358E-3</v>
      </c>
      <c r="I19" s="3">
        <v>0</v>
      </c>
      <c r="J19" s="6">
        <v>4.7393364928909956E-3</v>
      </c>
    </row>
    <row r="20" spans="1:10" x14ac:dyDescent="0.45">
      <c r="A20" s="37" t="s">
        <v>79</v>
      </c>
      <c r="B20" s="25">
        <v>1.0996563573883162E-2</v>
      </c>
      <c r="C20" s="3">
        <v>1.9204389574759947E-2</v>
      </c>
      <c r="D20" s="6">
        <v>2.7548209366391185E-3</v>
      </c>
      <c r="E20" s="23">
        <v>0</v>
      </c>
      <c r="F20" s="3">
        <v>0</v>
      </c>
      <c r="G20" s="20">
        <v>0</v>
      </c>
      <c r="H20" s="25">
        <v>7.0754716981132077E-3</v>
      </c>
      <c r="I20" s="3">
        <v>4.6948356807511738E-3</v>
      </c>
      <c r="J20" s="6">
        <v>9.4786729857819912E-3</v>
      </c>
    </row>
    <row r="21" spans="1:10" x14ac:dyDescent="0.45">
      <c r="A21" s="37" t="s">
        <v>80</v>
      </c>
      <c r="B21" s="25">
        <v>6.1855670103092781E-3</v>
      </c>
      <c r="C21" s="3">
        <v>6.8587105624142658E-3</v>
      </c>
      <c r="D21" s="6">
        <v>5.5096418732782371E-3</v>
      </c>
      <c r="E21" s="23">
        <v>1.3888888888888889E-3</v>
      </c>
      <c r="F21" s="3">
        <v>1.3869625520110957E-3</v>
      </c>
      <c r="G21" s="20">
        <v>1.3908205841446453E-3</v>
      </c>
      <c r="H21" s="25">
        <v>7.0754716981132077E-3</v>
      </c>
      <c r="I21" s="3">
        <v>9.3896713615023476E-3</v>
      </c>
      <c r="J21" s="6">
        <v>4.7393364928909956E-3</v>
      </c>
    </row>
    <row r="22" spans="1:10" x14ac:dyDescent="0.45">
      <c r="A22" s="37" t="s">
        <v>81</v>
      </c>
      <c r="B22" s="25">
        <v>9.6219931271477668E-3</v>
      </c>
      <c r="C22" s="3">
        <v>9.6021947873799734E-3</v>
      </c>
      <c r="D22" s="6">
        <v>9.6418732782369149E-3</v>
      </c>
      <c r="E22" s="23">
        <v>1.1111111111111112E-2</v>
      </c>
      <c r="F22" s="3">
        <v>2.2191400832177532E-2</v>
      </c>
      <c r="G22" s="20">
        <v>0</v>
      </c>
      <c r="H22" s="25">
        <v>1.8867924528301886E-2</v>
      </c>
      <c r="I22" s="3">
        <v>3.2863849765258218E-2</v>
      </c>
      <c r="J22" s="6">
        <v>4.7393364928909956E-3</v>
      </c>
    </row>
    <row r="23" spans="1:10" x14ac:dyDescent="0.45">
      <c r="A23" s="37" t="s">
        <v>82</v>
      </c>
      <c r="B23" s="25">
        <v>1.0996563573883162E-2</v>
      </c>
      <c r="C23" s="3">
        <v>9.6021947873799734E-3</v>
      </c>
      <c r="D23" s="6">
        <v>1.2396694214876033E-2</v>
      </c>
      <c r="E23" s="23">
        <v>1.3888888888888888E-2</v>
      </c>
      <c r="F23" s="3">
        <v>2.3578363384188627E-2</v>
      </c>
      <c r="G23" s="20">
        <v>4.172461752433936E-3</v>
      </c>
      <c r="H23" s="25">
        <v>6.1320754716981132E-2</v>
      </c>
      <c r="I23" s="3">
        <v>9.8591549295774641E-2</v>
      </c>
      <c r="J23" s="6">
        <v>2.3696682464454975E-2</v>
      </c>
    </row>
    <row r="24" spans="1:10" x14ac:dyDescent="0.45">
      <c r="A24" s="37" t="s">
        <v>83</v>
      </c>
      <c r="B24" s="25">
        <v>9.6219931271477668E-3</v>
      </c>
      <c r="C24" s="3">
        <v>1.3717421124828532E-2</v>
      </c>
      <c r="D24" s="6">
        <v>5.5096418732782371E-3</v>
      </c>
      <c r="E24" s="23">
        <v>7.0833333333333331E-2</v>
      </c>
      <c r="F24" s="3">
        <v>9.2926490984743412E-2</v>
      </c>
      <c r="G24" s="20">
        <v>4.8678720445062586E-2</v>
      </c>
      <c r="H24" s="25">
        <v>0.11792452830188679</v>
      </c>
      <c r="I24" s="3">
        <v>0.14084507042253522</v>
      </c>
      <c r="J24" s="6">
        <v>9.4786729857819899E-2</v>
      </c>
    </row>
    <row r="25" spans="1:10" x14ac:dyDescent="0.45">
      <c r="A25" s="37" t="s">
        <v>84</v>
      </c>
      <c r="B25" s="25">
        <v>2.268041237113402E-2</v>
      </c>
      <c r="C25" s="3">
        <v>3.1550068587105622E-2</v>
      </c>
      <c r="D25" s="6">
        <v>1.3774104683195593E-2</v>
      </c>
      <c r="E25" s="23">
        <v>0.1111111111111111</v>
      </c>
      <c r="F25" s="3">
        <v>0.15395284327323161</v>
      </c>
      <c r="G25" s="20">
        <v>6.8150208623087627E-2</v>
      </c>
      <c r="H25" s="25">
        <v>9.4339622641509441E-2</v>
      </c>
      <c r="I25" s="3">
        <v>0.10328638497652583</v>
      </c>
      <c r="J25" s="6">
        <v>8.5308056872037921E-2</v>
      </c>
    </row>
    <row r="26" spans="1:10" x14ac:dyDescent="0.45">
      <c r="A26" s="37" t="s">
        <v>85</v>
      </c>
      <c r="B26" s="25">
        <v>3.0927835051546393E-2</v>
      </c>
      <c r="C26" s="3">
        <v>4.38957475994513E-2</v>
      </c>
      <c r="D26" s="6">
        <v>1.790633608815427E-2</v>
      </c>
      <c r="E26" s="23">
        <v>0.16041666666666668</v>
      </c>
      <c r="F26" s="3">
        <v>0.15811373092926492</v>
      </c>
      <c r="G26" s="20">
        <v>0.16272600834492351</v>
      </c>
      <c r="H26" s="25">
        <v>0.125</v>
      </c>
      <c r="I26" s="3">
        <v>0.14553990610328638</v>
      </c>
      <c r="J26" s="6">
        <v>0.10426540284360189</v>
      </c>
    </row>
    <row r="27" spans="1:10" x14ac:dyDescent="0.45">
      <c r="A27" s="37" t="s">
        <v>86</v>
      </c>
      <c r="B27" s="25">
        <v>7.766323024054983E-2</v>
      </c>
      <c r="C27" s="3">
        <v>0.1083676268861454</v>
      </c>
      <c r="D27" s="6">
        <v>4.6831955922865015E-2</v>
      </c>
      <c r="E27" s="23">
        <v>0.16041666666666668</v>
      </c>
      <c r="F27" s="3">
        <v>0.17198335644937587</v>
      </c>
      <c r="G27" s="20">
        <v>0.14881780250347706</v>
      </c>
      <c r="H27" s="25">
        <v>0.16981132075471697</v>
      </c>
      <c r="I27" s="3">
        <v>0.18309859154929578</v>
      </c>
      <c r="J27" s="6">
        <v>0.15639810426540285</v>
      </c>
    </row>
    <row r="28" spans="1:10" x14ac:dyDescent="0.45">
      <c r="A28" s="37" t="s">
        <v>87</v>
      </c>
      <c r="B28" s="25">
        <v>0.1415807560137457</v>
      </c>
      <c r="C28" s="3">
        <v>0.1755829903978052</v>
      </c>
      <c r="D28" s="6">
        <v>0.10743801652892562</v>
      </c>
      <c r="E28" s="23">
        <v>0.12986111111111112</v>
      </c>
      <c r="F28" s="3">
        <v>0.12343966712898752</v>
      </c>
      <c r="G28" s="20">
        <v>0.13630041724617525</v>
      </c>
      <c r="H28" s="25">
        <v>0.10849056603773585</v>
      </c>
      <c r="I28" s="3">
        <v>8.9201877934272297E-2</v>
      </c>
      <c r="J28" s="6">
        <v>0.12796208530805686</v>
      </c>
    </row>
    <row r="29" spans="1:10" x14ac:dyDescent="0.45">
      <c r="A29" s="37" t="s">
        <v>88</v>
      </c>
      <c r="B29" s="25">
        <v>0.15738831615120275</v>
      </c>
      <c r="C29" s="3">
        <v>0.18106995884773663</v>
      </c>
      <c r="D29" s="6">
        <v>0.13360881542699724</v>
      </c>
      <c r="E29" s="23">
        <v>9.930555555555555E-2</v>
      </c>
      <c r="F29" s="3">
        <v>7.4895977808599162E-2</v>
      </c>
      <c r="G29" s="20">
        <v>0.12378303198887343</v>
      </c>
      <c r="H29" s="25">
        <v>0.11320754716981132</v>
      </c>
      <c r="I29" s="3">
        <v>0.11267605633802817</v>
      </c>
      <c r="J29" s="6">
        <v>0.11374407582938388</v>
      </c>
    </row>
    <row r="30" spans="1:10" x14ac:dyDescent="0.45">
      <c r="A30" s="37" t="s">
        <v>89</v>
      </c>
      <c r="B30" s="25">
        <v>0.15601374570446735</v>
      </c>
      <c r="C30" s="3">
        <v>0.15500685871056241</v>
      </c>
      <c r="D30" s="6">
        <v>0.15702479338842976</v>
      </c>
      <c r="E30" s="23">
        <v>8.3333333333333329E-2</v>
      </c>
      <c r="F30" s="3">
        <v>7.7669902912621352E-2</v>
      </c>
      <c r="G30" s="20">
        <v>8.9012517385257298E-2</v>
      </c>
      <c r="H30" s="25">
        <v>7.783018867924528E-2</v>
      </c>
      <c r="I30" s="3">
        <v>3.2863849765258218E-2</v>
      </c>
      <c r="J30" s="6">
        <v>0.12322274881516587</v>
      </c>
    </row>
    <row r="31" spans="1:10" x14ac:dyDescent="0.45">
      <c r="A31" s="37" t="s">
        <v>90</v>
      </c>
      <c r="B31" s="25">
        <v>0.11477663230240549</v>
      </c>
      <c r="C31" s="3">
        <v>9.1906721536351169E-2</v>
      </c>
      <c r="D31" s="6">
        <v>0.13774104683195593</v>
      </c>
      <c r="E31" s="23">
        <v>0.05</v>
      </c>
      <c r="F31" s="3">
        <v>4.4382801664355064E-2</v>
      </c>
      <c r="G31" s="20">
        <v>5.5632823365785816E-2</v>
      </c>
      <c r="H31" s="25">
        <v>6.1320754716981132E-2</v>
      </c>
      <c r="I31" s="3">
        <v>4.2253521126760563E-2</v>
      </c>
      <c r="J31" s="6">
        <v>8.0568720379146919E-2</v>
      </c>
    </row>
    <row r="32" spans="1:10" x14ac:dyDescent="0.45">
      <c r="A32" s="37" t="s">
        <v>91</v>
      </c>
      <c r="B32" s="25">
        <v>9.9656357388316158E-2</v>
      </c>
      <c r="C32" s="3">
        <v>6.8587105624142664E-2</v>
      </c>
      <c r="D32" s="6">
        <v>0.13085399449035812</v>
      </c>
      <c r="E32" s="23">
        <v>4.1666666666666664E-2</v>
      </c>
      <c r="F32" s="3">
        <v>3.6061026352288486E-2</v>
      </c>
      <c r="G32" s="20">
        <v>4.7287899860917942E-2</v>
      </c>
      <c r="H32" s="25">
        <v>2.5943396226415096E-2</v>
      </c>
      <c r="I32" s="3">
        <v>0</v>
      </c>
      <c r="J32" s="6">
        <v>5.2132701421800945E-2</v>
      </c>
    </row>
    <row r="33" spans="1:10" x14ac:dyDescent="0.45">
      <c r="A33" s="37" t="s">
        <v>92</v>
      </c>
      <c r="B33" s="25">
        <v>8.5910652920962199E-2</v>
      </c>
      <c r="C33" s="3">
        <v>6.3100137174211243E-2</v>
      </c>
      <c r="D33" s="6">
        <v>0.10881542699724518</v>
      </c>
      <c r="E33" s="23">
        <v>3.2638888888888891E-2</v>
      </c>
      <c r="F33" s="3">
        <v>1.6643550624133148E-2</v>
      </c>
      <c r="G33" s="20">
        <v>4.8678720445062586E-2</v>
      </c>
      <c r="H33" s="25">
        <v>7.0754716981132077E-3</v>
      </c>
      <c r="I33" s="3">
        <v>0</v>
      </c>
      <c r="J33" s="6">
        <v>1.4218009478672985E-2</v>
      </c>
    </row>
    <row r="34" spans="1:10" x14ac:dyDescent="0.45">
      <c r="A34" s="37" t="s">
        <v>93</v>
      </c>
      <c r="B34" s="25">
        <v>5.0859106529209622E-2</v>
      </c>
      <c r="C34" s="3">
        <v>1.5089163237311385E-2</v>
      </c>
      <c r="D34" s="6">
        <v>8.6776859504132234E-2</v>
      </c>
      <c r="E34" s="23">
        <v>2.7777777777777776E-2</v>
      </c>
      <c r="F34" s="3">
        <v>2.7739251040221915E-3</v>
      </c>
      <c r="G34" s="20">
        <v>5.2851182197496523E-2</v>
      </c>
      <c r="H34" s="25">
        <v>0</v>
      </c>
      <c r="I34" s="3">
        <v>0</v>
      </c>
      <c r="J34" s="6">
        <v>0</v>
      </c>
    </row>
    <row r="35" spans="1:10" ht="14.65" thickBot="1" x14ac:dyDescent="0.5">
      <c r="A35" s="38" t="s">
        <v>94</v>
      </c>
      <c r="B35" s="26">
        <v>1.0309278350515464E-2</v>
      </c>
      <c r="C35" s="8">
        <v>1.3717421124828531E-3</v>
      </c>
      <c r="D35" s="9">
        <v>1.928374655647383E-2</v>
      </c>
      <c r="E35" s="24">
        <v>4.8611111111111112E-3</v>
      </c>
      <c r="F35" s="8">
        <v>0</v>
      </c>
      <c r="G35" s="21">
        <v>9.7357440890125171E-3</v>
      </c>
      <c r="H35" s="26">
        <v>0</v>
      </c>
      <c r="I35" s="8">
        <v>0</v>
      </c>
      <c r="J35" s="9">
        <v>0</v>
      </c>
    </row>
    <row r="36" spans="1:10" x14ac:dyDescent="0.45">
      <c r="B36" s="11">
        <f t="shared" ref="B36:J36" si="0">SUM(B12:B35)</f>
        <v>1</v>
      </c>
      <c r="C36" s="11">
        <f t="shared" si="0"/>
        <v>1</v>
      </c>
      <c r="D36" s="11">
        <f t="shared" si="0"/>
        <v>1.0000000000000002</v>
      </c>
      <c r="E36" s="11">
        <f t="shared" si="0"/>
        <v>1</v>
      </c>
      <c r="F36" s="11">
        <f t="shared" si="0"/>
        <v>1</v>
      </c>
      <c r="G36" s="11">
        <f t="shared" si="0"/>
        <v>1</v>
      </c>
      <c r="H36" s="11">
        <f t="shared" si="0"/>
        <v>1</v>
      </c>
      <c r="I36" s="11">
        <f t="shared" si="0"/>
        <v>1</v>
      </c>
      <c r="J36" s="11">
        <f t="shared" si="0"/>
        <v>1</v>
      </c>
    </row>
  </sheetData>
  <mergeCells count="21">
    <mergeCell ref="A1:J2"/>
    <mergeCell ref="A3:J3"/>
    <mergeCell ref="A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10:D10"/>
    <mergeCell ref="E10:G10"/>
    <mergeCell ref="H10:J10"/>
    <mergeCell ref="B8:D8"/>
    <mergeCell ref="E8:G8"/>
    <mergeCell ref="H8:J8"/>
    <mergeCell ref="B9:D9"/>
    <mergeCell ref="E9:G9"/>
    <mergeCell ref="H9:J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Land Uses with Time-of-Day</vt:lpstr>
      <vt:lpstr>035 - Truck and Trailer Parking</vt:lpstr>
      <vt:lpstr>110 - General Light Industrial</vt:lpstr>
      <vt:lpstr>140 - Manufacturing</vt:lpstr>
      <vt:lpstr>150 - Warehouse</vt:lpstr>
      <vt:lpstr>151 - Mini-Warehouse</vt:lpstr>
      <vt:lpstr>154 - High-Cube Transload Whse</vt:lpstr>
      <vt:lpstr>155 - High-Cube Fulfillmt Whse</vt:lpstr>
      <vt:lpstr>156 - High-Cube Parcel Hub Whse</vt:lpstr>
      <vt:lpstr>160 - Data Center</vt:lpstr>
      <vt:lpstr>170 - Utility</vt:lpstr>
      <vt:lpstr>180-Specialty Trade Contractor</vt:lpstr>
      <vt:lpstr>210-Single-Family Detached</vt:lpstr>
      <vt:lpstr>215-Single-Family Attached</vt:lpstr>
      <vt:lpstr>220-Multifam. Hous. (Low-Rise) </vt:lpstr>
      <vt:lpstr>221-Multifamily (Mid-Rise)</vt:lpstr>
      <vt:lpstr>222-Multifam. (High-Rise)</vt:lpstr>
      <vt:lpstr>223 - Affordable Housing</vt:lpstr>
      <vt:lpstr>225 Off-Campus Student Apt (Lo)</vt:lpstr>
      <vt:lpstr>226 Off-Campus Student Apt (Mi)</vt:lpstr>
      <vt:lpstr>230-Low-Rise Resid&amp;Grd Flr Comm</vt:lpstr>
      <vt:lpstr>251 Sr Adult Housing </vt:lpstr>
      <vt:lpstr>253 - Congregate Care Facility</vt:lpstr>
      <vt:lpstr>254 - Assisted Living</vt:lpstr>
      <vt:lpstr>260 - Recreational Homes</vt:lpstr>
      <vt:lpstr>310 - Hotel</vt:lpstr>
      <vt:lpstr>311 - All-Suites Hotel</vt:lpstr>
      <vt:lpstr>312 - Limited-Service Hotel</vt:lpstr>
      <vt:lpstr>320 - Motel </vt:lpstr>
      <vt:lpstr>330 -Resort Hotel </vt:lpstr>
      <vt:lpstr>416 - Campground-RV Park</vt:lpstr>
      <vt:lpstr>462-Prof. Baseball Stadium</vt:lpstr>
      <vt:lpstr>489 - Pickleball Courts</vt:lpstr>
      <vt:lpstr>492 - Health-Fitness Club</vt:lpstr>
      <vt:lpstr>495-Recreational Community Ctr.</vt:lpstr>
      <vt:lpstr>520 - Elementary School</vt:lpstr>
      <vt:lpstr>522 - Middle-Junior High School</vt:lpstr>
      <vt:lpstr>525 - High School</vt:lpstr>
      <vt:lpstr>528 - School District Office</vt:lpstr>
      <vt:lpstr>534 - Private High School </vt:lpstr>
      <vt:lpstr>536 - Charter Elementary School</vt:lpstr>
      <vt:lpstr>540 - Junior-Community College</vt:lpstr>
      <vt:lpstr>550 - UniversityCollege</vt:lpstr>
      <vt:lpstr>565 - Day Care Center</vt:lpstr>
      <vt:lpstr>571 - Adult Detention Facility</vt:lpstr>
      <vt:lpstr>610 - Hospital</vt:lpstr>
      <vt:lpstr>620 - Nursing Home</vt:lpstr>
      <vt:lpstr>630 - Walk-In Clinic</vt:lpstr>
      <vt:lpstr>640-Animal Hospital Vet. Clinic</vt:lpstr>
      <vt:lpstr>650-Free-Standing Emergency Rm</vt:lpstr>
      <vt:lpstr>710 - General Office Building</vt:lpstr>
      <vt:lpstr>712 - Small Office Building</vt:lpstr>
      <vt:lpstr>720 - Medical-Dental Office Bld</vt:lpstr>
      <vt:lpstr>730-Government Office Building</vt:lpstr>
      <vt:lpstr>731 - State Motor Vehicles Dept</vt:lpstr>
      <vt:lpstr>812 -Bldg Matls &amp; Lumber Store </vt:lpstr>
      <vt:lpstr>813 - F-S Discount Superstore</vt:lpstr>
      <vt:lpstr>814 - Variety Store</vt:lpstr>
      <vt:lpstr>815 - F-S Discount Store</vt:lpstr>
      <vt:lpstr>816 - Hardware &amp; Paint Store</vt:lpstr>
      <vt:lpstr>820 - Shopping Center</vt:lpstr>
      <vt:lpstr>821 - Shopping Plaza</vt:lpstr>
      <vt:lpstr>822 - Strip Retail Plaza</vt:lpstr>
      <vt:lpstr>840 - Automobile Sales (New)</vt:lpstr>
      <vt:lpstr>841 - Automobile Sales (Used)</vt:lpstr>
      <vt:lpstr>842-Recreational Vehicle Sales</vt:lpstr>
      <vt:lpstr>843 - Automobile Parts Sales</vt:lpstr>
      <vt:lpstr>848 - Tire Store</vt:lpstr>
      <vt:lpstr>850 - Supermarket</vt:lpstr>
      <vt:lpstr>857 - Discount Club</vt:lpstr>
      <vt:lpstr>861 - Sporting Goods Superstore</vt:lpstr>
      <vt:lpstr>862-Home Improve Superstore</vt:lpstr>
      <vt:lpstr>863 - Electronics Superstore</vt:lpstr>
      <vt:lpstr>881 - Pharm-Drugstore w DT </vt:lpstr>
      <vt:lpstr>882 - Cannabis Dispensary</vt:lpstr>
      <vt:lpstr>890 - Furniture-Flooring Store</vt:lpstr>
      <vt:lpstr>899 - Liquor Store</vt:lpstr>
      <vt:lpstr>912 - Drive-In Bank</vt:lpstr>
      <vt:lpstr>930 - Fast Casual Restaurant</vt:lpstr>
      <vt:lpstr>932 - High-Turnover (SD) Rest</vt:lpstr>
      <vt:lpstr>933-Fst Food Rest wo Drv Thru</vt:lpstr>
      <vt:lpstr>934 - Fast Food Rest w Drv</vt:lpstr>
      <vt:lpstr>937-Coffee-Donut Shop w Dr Thr</vt:lpstr>
      <vt:lpstr>941-Quick Lubrication Veh. Stop</vt:lpstr>
      <vt:lpstr>942 - Automobile Care Center</vt:lpstr>
      <vt:lpstr>943-Auto. Parts and Service Ctr</vt:lpstr>
      <vt:lpstr>944 - Gasoline-Service Station</vt:lpstr>
      <vt:lpstr>945-Conv Store Gas Station</vt:lpstr>
      <vt:lpstr>948 - Automated Car Wash</vt:lpstr>
      <vt:lpstr>949-Car Wash and Detail Ctr.</vt:lpstr>
      <vt:lpstr>960 - Rental Car Facility</vt:lpstr>
      <vt:lpstr>970 Wine Tasting Room</vt:lpstr>
      <vt:lpstr>971 Brewery Taproom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Kyla Elzinga</cp:lastModifiedBy>
  <cp:lastPrinted>2021-09-10T18:34:52Z</cp:lastPrinted>
  <dcterms:created xsi:type="dcterms:W3CDTF">2018-07-25T22:37:15Z</dcterms:created>
  <dcterms:modified xsi:type="dcterms:W3CDTF">2025-09-24T15:43:06Z</dcterms:modified>
</cp:coreProperties>
</file>