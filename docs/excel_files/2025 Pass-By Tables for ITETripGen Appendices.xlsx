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Traffic Engineering 2025\Administrative\Planning Commission\ITE Materails\"/>
    </mc:Choice>
  </mc:AlternateContent>
  <xr:revisionPtr revIDLastSave="0" documentId="8_{5686365E-CF54-4D16-BE95-F8FC5B10BE89}" xr6:coauthVersionLast="47" xr6:coauthVersionMax="47" xr10:uidLastSave="{00000000-0000-0000-0000-000000000000}"/>
  <bookViews>
    <workbookView xWindow="28680" yWindow="-120" windowWidth="29040" windowHeight="15720" xr2:uid="{9A393180-EC67-406E-A179-D21D25144744}"/>
  </bookViews>
  <sheets>
    <sheet name="Land Uses with Pass-By Data" sheetId="99" r:id="rId1"/>
    <sheet name="495-Recreational Community Ctr." sheetId="105" r:id="rId2"/>
    <sheet name="565 - Day Care Center" sheetId="62" r:id="rId3"/>
    <sheet name="813 - Discount Superstore Wkdy " sheetId="45" r:id="rId4"/>
    <sheet name="813 -  Discount Superstore Sat" sheetId="63" r:id="rId5"/>
    <sheet name="814 - Variety Store" sheetId="64" r:id="rId6"/>
    <sheet name="815 - FS Discount Store Wkdy" sheetId="65" r:id="rId7"/>
    <sheet name="815 - FS Discount Store Sat" sheetId="66" r:id="rId8"/>
    <sheet name="816 - Hardware Paint Store" sheetId="67" r:id="rId9"/>
    <sheet name="820 - Shopping Center Wkdy" sheetId="68" r:id="rId10"/>
    <sheet name="821 - Shopping Plaza Wkdy" sheetId="70" r:id="rId11"/>
    <sheet name="821 - Shopping Plaza Sat" sheetId="71" r:id="rId12"/>
    <sheet name="843 - Automobile Parts Sales" sheetId="73" r:id="rId13"/>
    <sheet name="848 - Tire Store" sheetId="74" r:id="rId14"/>
    <sheet name="850 - Supermarket Wkdy" sheetId="75" r:id="rId15"/>
    <sheet name="850 - Supermarket Sat" sheetId="76" r:id="rId16"/>
    <sheet name="857 - Discount Club Wkdy" sheetId="54" r:id="rId17"/>
    <sheet name="857 - Discount Club Sat" sheetId="55" r:id="rId18"/>
    <sheet name="862 Home Improvement Superstore" sheetId="56" r:id="rId19"/>
    <sheet name="863 - Electronics Superstore" sheetId="57" r:id="rId20"/>
    <sheet name="880 Pharmacy Drugstore - No DT" sheetId="58" r:id="rId21"/>
    <sheet name="881 Pharmacy Drugstore w DT" sheetId="59" r:id="rId22"/>
    <sheet name="890 - Furniture-Flooring Store" sheetId="60" r:id="rId23"/>
    <sheet name="912 - Drive-In Bank Wkdy AM" sheetId="61" r:id="rId24"/>
    <sheet name="912 - Drive-In Bank Wkdy Mid" sheetId="50" r:id="rId25"/>
    <sheet name="912 - Drive-In Bank Wkdy PM" sheetId="51" r:id="rId26"/>
    <sheet name="912 - Drive-In Bank Sat" sheetId="52" r:id="rId27"/>
    <sheet name="931 - Fine Dining" sheetId="53" r:id="rId28"/>
    <sheet name="932 High-Turnover SD Rest" sheetId="48" r:id="rId29"/>
    <sheet name="934 Fast-Food w Drive Thru AM" sheetId="49" r:id="rId30"/>
    <sheet name="934 Fast-Food w Drive Thru PM" sheetId="47" r:id="rId31"/>
    <sheet name="935 Fast-Food Drive Thru Only" sheetId="46" r:id="rId32"/>
    <sheet name="937 Coffee DT Wkdy GFA" sheetId="107" r:id="rId33"/>
    <sheet name="937 Coffee DT Wkdy DTL" sheetId="106" r:id="rId34"/>
    <sheet name="937 Coffee DT Wkdy AM" sheetId="108" r:id="rId35"/>
    <sheet name="937 Coffee DT Wkdy Mid" sheetId="109" r:id="rId36"/>
    <sheet name="937 Coffee DT Wkdy PM" sheetId="110" r:id="rId37"/>
    <sheet name="938 Coffee DT Only Wkdy AM" sheetId="78" r:id="rId38"/>
    <sheet name="938 Coffee DT Only Wkdy Mid" sheetId="95" r:id="rId39"/>
    <sheet name="938 Coffee DT Only Wkdy PM" sheetId="96" r:id="rId40"/>
    <sheet name="944 Gas Service Station Wkdy AM" sheetId="79" r:id="rId41"/>
    <sheet name="944 Gas Service Station Wkdy PM" sheetId="80" r:id="rId42"/>
    <sheet name="944 Gas Service Station Sat Mid" sheetId="81" r:id="rId43"/>
    <sheet name="945 Conv Store Gas Sta Wkdy AM" sheetId="97" r:id="rId44"/>
    <sheet name="945 Conv Store Gas Sta Wkdy PM" sheetId="83" r:id="rId45"/>
    <sheet name="LIst of Sources" sheetId="100" r:id="rId4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8" i="107" l="1"/>
  <c r="F17" i="107"/>
  <c r="F16" i="107"/>
  <c r="F15" i="107"/>
  <c r="B10" i="107"/>
  <c r="F16" i="106"/>
  <c r="F17" i="106"/>
  <c r="F18" i="106"/>
  <c r="F15" i="106"/>
  <c r="B10" i="106"/>
</calcChain>
</file>

<file path=xl/sharedStrings.xml><?xml version="1.0" encoding="utf-8"?>
<sst xmlns="http://schemas.openxmlformats.org/spreadsheetml/2006/main" count="2215" uniqueCount="145">
  <si>
    <t>—</t>
  </si>
  <si>
    <t>Time Period</t>
  </si>
  <si>
    <t>Pass-By Trip (%)</t>
  </si>
  <si>
    <t>Source</t>
  </si>
  <si>
    <t>Vehicle Fueling Positions</t>
  </si>
  <si>
    <t>Drive-Through Lanes</t>
  </si>
  <si>
    <t>---</t>
  </si>
  <si>
    <t>Saturday Midday</t>
  </si>
  <si>
    <t>Weekday Midday</t>
  </si>
  <si>
    <t>GFA (000)</t>
  </si>
  <si>
    <t>&lt; 8</t>
  </si>
  <si>
    <t>Land Use Code</t>
  </si>
  <si>
    <t>Land Use</t>
  </si>
  <si>
    <t>Setting</t>
  </si>
  <si>
    <t>General Urban/Suburban</t>
  </si>
  <si>
    <t># Data Sites</t>
  </si>
  <si>
    <t>Vehicle Pass-By Rates by Land Use</t>
  </si>
  <si>
    <t>Weekday PM Peak Period</t>
  </si>
  <si>
    <t>Average Pass-By Rate</t>
  </si>
  <si>
    <t>Survey Year</t>
  </si>
  <si>
    <t># Interviews</t>
  </si>
  <si>
    <t>Pass-By Characteristics for Individual Sites</t>
  </si>
  <si>
    <t>Non-Pass-By Trips</t>
  </si>
  <si>
    <t>Total (%)</t>
  </si>
  <si>
    <t>State or Province</t>
  </si>
  <si>
    <t>Primary (%)</t>
  </si>
  <si>
    <t>Diverted (%)</t>
  </si>
  <si>
    <t>Ohio</t>
  </si>
  <si>
    <t>Illinois</t>
  </si>
  <si>
    <t>Florida</t>
  </si>
  <si>
    <t>Colorado</t>
  </si>
  <si>
    <t>Kentucky</t>
  </si>
  <si>
    <t>Iowa</t>
  </si>
  <si>
    <t>Texas</t>
  </si>
  <si>
    <t>Wisconsin</t>
  </si>
  <si>
    <t>Pennsylvania</t>
  </si>
  <si>
    <t>California</t>
  </si>
  <si>
    <t>Virginia</t>
  </si>
  <si>
    <t>Free-Standing Discount Superstore</t>
  </si>
  <si>
    <t>Day Care Center</t>
  </si>
  <si>
    <t>Variety Store</t>
  </si>
  <si>
    <t>Free-Standing Discount Store</t>
  </si>
  <si>
    <t>Hardware/Paint Store</t>
  </si>
  <si>
    <t>Shopping Center (&gt; 150k)</t>
  </si>
  <si>
    <t>Automobile Parts Sales</t>
  </si>
  <si>
    <t>Tire Store</t>
  </si>
  <si>
    <t>Supermarket</t>
  </si>
  <si>
    <t>Discount Club</t>
  </si>
  <si>
    <t>Home Improvement Superstore</t>
  </si>
  <si>
    <t>Electronics Superstore</t>
  </si>
  <si>
    <t>Pharmacy/Drugstore without Drive-Through Window</t>
  </si>
  <si>
    <t>Pharmacy/Drugstore with Drive-Through Window</t>
  </si>
  <si>
    <t>Drive-In Bank</t>
  </si>
  <si>
    <t>Weekday AM Peak Period</t>
  </si>
  <si>
    <t>Fine Dining</t>
  </si>
  <si>
    <t>High-Turnover (Sit-Down) Restaurant</t>
  </si>
  <si>
    <t>Fast-Food Restaurant with Drive-Through Window</t>
  </si>
  <si>
    <t>Fast-Food Restaurant with Drive-Through Window and No Indoor Seating</t>
  </si>
  <si>
    <t>Coffee/Donut Shop with Drive-Through Window and No Indoor Seating</t>
  </si>
  <si>
    <t>Gasoline/Service Station</t>
  </si>
  <si>
    <t>Convenience Store/Gas Station</t>
  </si>
  <si>
    <t>Nebraska</t>
  </si>
  <si>
    <t>New York</t>
  </si>
  <si>
    <t>New Jersey</t>
  </si>
  <si>
    <t>Oregon</t>
  </si>
  <si>
    <t>--</t>
  </si>
  <si>
    <t>Maryland</t>
  </si>
  <si>
    <t>Kansas</t>
  </si>
  <si>
    <t>Shopping Plaza (40 - 150k)</t>
  </si>
  <si>
    <t>Adjacent Street Daily Volume</t>
  </si>
  <si>
    <t>Adj Street Peak Hour Volume</t>
  </si>
  <si>
    <t>Washington</t>
  </si>
  <si>
    <t>Nevada</t>
  </si>
  <si>
    <t>Adj Street Daily Volume</t>
  </si>
  <si>
    <t>Indiana</t>
  </si>
  <si>
    <t>GLA (000)</t>
  </si>
  <si>
    <t>VFP</t>
  </si>
  <si>
    <t>Delaware</t>
  </si>
  <si>
    <t>12 Sites with between 2 and 8 VFP</t>
  </si>
  <si>
    <t>56% for Sites with between 2 and 8 VFP</t>
  </si>
  <si>
    <t>28 Sites with between 9 and 20 VFP</t>
  </si>
  <si>
    <t>75% for Sites with between 9 and 20 VFP</t>
  </si>
  <si>
    <t>16 Sites with between 2 and 8 VFP</t>
  </si>
  <si>
    <t>60% for Sites with between 2 and 8 VFP</t>
  </si>
  <si>
    <t>76% for Sites with between 9 and 20 VFP</t>
  </si>
  <si>
    <t>Connecticut</t>
  </si>
  <si>
    <t>Massachusetts</t>
  </si>
  <si>
    <t>North Carolina</t>
  </si>
  <si>
    <t>8 Sites with GLA between 150 and 300k</t>
  </si>
  <si>
    <t>29% for Sites with GLA between 150 and 300k</t>
  </si>
  <si>
    <t>16 Sites with GLA between 300 and 900k</t>
  </si>
  <si>
    <t>19% for Sites with GLA between 300 and 900k</t>
  </si>
  <si>
    <t>List of Land Uses with Vehicle Pass-By Rates and Data</t>
  </si>
  <si>
    <t>List of Sources for Vehicle Pass-By Data</t>
  </si>
  <si>
    <t>Barton-Aschman Assoc.</t>
  </si>
  <si>
    <t>Bergmann Associates</t>
  </si>
  <si>
    <t>Booz Allen &amp; Hamilton</t>
  </si>
  <si>
    <t>Carl Buttke</t>
  </si>
  <si>
    <t>City of Calgary</t>
  </si>
  <si>
    <t>Connecticut Department of Transportation</t>
  </si>
  <si>
    <t>DKS Associates</t>
  </si>
  <si>
    <t>Florida Department of Transportation</t>
  </si>
  <si>
    <t>Frischer</t>
  </si>
  <si>
    <t>Gibson Traffic Consultants</t>
  </si>
  <si>
    <t>Gorove-Slade</t>
  </si>
  <si>
    <t>International Council of Shopping Centers</t>
  </si>
  <si>
    <t>ITE Montana Section Technical Committee</t>
  </si>
  <si>
    <t>JHK and Associates</t>
  </si>
  <si>
    <t>Kenig, O’Hara, Humes, Flock</t>
  </si>
  <si>
    <t>Kimley-Horn and Associates</t>
  </si>
  <si>
    <t>McMahon Associates</t>
  </si>
  <si>
    <t>Mid-Ohio Regional Planning Commission</t>
  </si>
  <si>
    <t>Oracle Engineering</t>
  </si>
  <si>
    <t>Orth-Rodgers</t>
  </si>
  <si>
    <t>Pennoni Associates</t>
  </si>
  <si>
    <t>Raymond Keyes Associates</t>
  </si>
  <si>
    <t>RBA Group</t>
  </si>
  <si>
    <t>Sear Brown</t>
  </si>
  <si>
    <t>Shea Carr Jewell</t>
  </si>
  <si>
    <t>Texas Transportation Institute</t>
  </si>
  <si>
    <t>Tipton Associates</t>
  </si>
  <si>
    <t>University of Nebraska—Lincoln</t>
  </si>
  <si>
    <t>Wilbur Smith Associates</t>
  </si>
  <si>
    <t>Sprinkle Consulting</t>
  </si>
  <si>
    <t>Kentuckiana Regional Planning and Development Agency</t>
  </si>
  <si>
    <t>Traffic Planning and Design</t>
  </si>
  <si>
    <t>CODE</t>
  </si>
  <si>
    <t>LAND USE</t>
  </si>
  <si>
    <t>Institutional (Land Uses 500–599)</t>
  </si>
  <si>
    <t>Retail (Land Uses 800–899)</t>
  </si>
  <si>
    <t>Shopping Center (&gt;150k)</t>
  </si>
  <si>
    <t>Shopping Plaza (40-150k)</t>
  </si>
  <si>
    <t>Services (Land Uses 900–999)</t>
  </si>
  <si>
    <t>Drive-in Bank</t>
  </si>
  <si>
    <t>Fine Dining Restaurant</t>
  </si>
  <si>
    <r>
      <t xml:space="preserve">Source: ITE </t>
    </r>
    <r>
      <rPr>
        <i/>
        <sz val="11"/>
        <color theme="1"/>
        <rFont val="Calibri"/>
        <family val="2"/>
        <scheme val="minor"/>
      </rPr>
      <t>Trip Generation Manual</t>
    </r>
    <r>
      <rPr>
        <sz val="11"/>
        <color theme="1"/>
        <rFont val="Calibri"/>
        <family val="2"/>
        <scheme val="minor"/>
      </rPr>
      <t>, 12th Edition</t>
    </r>
  </si>
  <si>
    <r>
      <t xml:space="preserve">Source: ITE </t>
    </r>
    <r>
      <rPr>
        <i/>
        <sz val="11"/>
        <color theme="1"/>
        <rFont val="Calibri"/>
        <family val="2"/>
        <scheme val="minor"/>
      </rPr>
      <t>Trip Generation Manual</t>
    </r>
    <r>
      <rPr>
        <sz val="11"/>
        <color theme="1"/>
        <rFont val="Calibri"/>
        <family val="2"/>
        <scheme val="minor"/>
      </rPr>
      <t>, 12th Edition</t>
    </r>
  </si>
  <si>
    <t>Coffee/Donut Shop with Drive-Through Window</t>
  </si>
  <si>
    <t xml:space="preserve">Coffee/Donut Shop with Drive-Through Window </t>
  </si>
  <si>
    <t>Recreational (Land Uses 400–499)</t>
  </si>
  <si>
    <t>Recreational Community Center</t>
  </si>
  <si>
    <t>Weekday</t>
  </si>
  <si>
    <t>Kittelson &amp; Associates, Inc.</t>
  </si>
  <si>
    <t>Transight Consulting, LLC</t>
  </si>
  <si>
    <t>Furniture/Flooring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</si>
</sst>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"/>
    <numFmt numFmtId="166" formatCode="#,##0.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111">
    <xf numFmtId="0" fontId="0" fillId="0" borderId="0" xfId="0"/>
    <xf numFmtId="0" fontId="0" fillId="0" borderId="0" xfId="0" applyAlignment="1">
      <alignment horizontal="center"/>
    </xf>
    <xf numFmtId="0" fontId="0" fillId="0" borderId="6" xfId="0" applyBorder="1" applyAlignment="1">
      <alignment horizontal="right" vertical="center"/>
    </xf>
    <xf numFmtId="0" fontId="0" fillId="0" borderId="6" xfId="0" applyBorder="1" applyAlignment="1">
      <alignment horizontal="right"/>
    </xf>
    <xf numFmtId="0" fontId="0" fillId="0" borderId="4" xfId="0" applyBorder="1"/>
    <xf numFmtId="0" fontId="0" fillId="0" borderId="7" xfId="0" applyBorder="1" applyAlignment="1">
      <alignment horizontal="center"/>
    </xf>
    <xf numFmtId="164" fontId="0" fillId="0" borderId="7" xfId="1" applyNumberFormat="1" applyFont="1" applyFill="1" applyBorder="1" applyAlignment="1">
      <alignment horizontal="center"/>
    </xf>
    <xf numFmtId="0" fontId="0" fillId="0" borderId="14" xfId="0" applyBorder="1" applyAlignment="1">
      <alignment horizontal="right"/>
    </xf>
    <xf numFmtId="164" fontId="0" fillId="0" borderId="15" xfId="1" applyNumberFormat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0" borderId="7" xfId="1" applyNumberFormat="1" applyFont="1" applyFill="1" applyBorder="1" applyAlignment="1">
      <alignment horizontal="center"/>
    </xf>
    <xf numFmtId="0" fontId="0" fillId="0" borderId="8" xfId="1" applyNumberFormat="1" applyFont="1" applyFill="1" applyBorder="1" applyAlignment="1">
      <alignment horizontal="center"/>
    </xf>
    <xf numFmtId="0" fontId="0" fillId="0" borderId="15" xfId="1" applyNumberFormat="1" applyFont="1" applyFill="1" applyBorder="1" applyAlignment="1">
      <alignment horizontal="center"/>
    </xf>
    <xf numFmtId="0" fontId="0" fillId="0" borderId="16" xfId="1" applyNumberFormat="1" applyFon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1" quotePrefix="1" applyNumberFormat="1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right"/>
    </xf>
    <xf numFmtId="0" fontId="0" fillId="0" borderId="7" xfId="0" applyBorder="1"/>
    <xf numFmtId="0" fontId="0" fillId="0" borderId="6" xfId="0" applyBorder="1"/>
    <xf numFmtId="0" fontId="0" fillId="0" borderId="14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 wrapText="1"/>
    </xf>
    <xf numFmtId="0" fontId="4" fillId="0" borderId="0" xfId="0" applyFont="1"/>
    <xf numFmtId="0" fontId="4" fillId="0" borderId="0" xfId="0" applyFont="1" applyAlignment="1">
      <alignment horizontal="center"/>
    </xf>
    <xf numFmtId="0" fontId="0" fillId="0" borderId="8" xfId="0" applyBorder="1" applyAlignment="1">
      <alignment horizontal="center"/>
    </xf>
    <xf numFmtId="1" fontId="0" fillId="0" borderId="7" xfId="1" applyNumberFormat="1" applyFont="1" applyFill="1" applyBorder="1" applyAlignment="1">
      <alignment horizontal="center"/>
    </xf>
    <xf numFmtId="166" fontId="0" fillId="0" borderId="6" xfId="0" applyNumberFormat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1" fontId="0" fillId="0" borderId="7" xfId="0" applyNumberFormat="1" applyBorder="1" applyAlignment="1">
      <alignment horizontal="center" wrapText="1"/>
    </xf>
    <xf numFmtId="1" fontId="0" fillId="0" borderId="7" xfId="0" applyNumberFormat="1" applyBorder="1" applyAlignment="1">
      <alignment horizontal="center"/>
    </xf>
    <xf numFmtId="0" fontId="1" fillId="0" borderId="0" xfId="2"/>
    <xf numFmtId="0" fontId="1" fillId="0" borderId="10" xfId="2" applyBorder="1" applyAlignment="1">
      <alignment horizontal="center"/>
    </xf>
    <xf numFmtId="0" fontId="1" fillId="0" borderId="11" xfId="2" applyBorder="1" applyAlignment="1">
      <alignment horizontal="center"/>
    </xf>
    <xf numFmtId="0" fontId="1" fillId="0" borderId="6" xfId="2" applyBorder="1" applyAlignment="1">
      <alignment horizontal="right" vertical="center"/>
    </xf>
    <xf numFmtId="0" fontId="1" fillId="0" borderId="6" xfId="2" applyBorder="1" applyAlignment="1">
      <alignment horizontal="right"/>
    </xf>
    <xf numFmtId="0" fontId="1" fillId="0" borderId="4" xfId="2" applyBorder="1" applyAlignment="1">
      <alignment horizontal="right"/>
    </xf>
    <xf numFmtId="0" fontId="1" fillId="0" borderId="4" xfId="2" applyBorder="1"/>
    <xf numFmtId="0" fontId="1" fillId="0" borderId="17" xfId="2" applyBorder="1" applyAlignment="1">
      <alignment horizontal="center"/>
    </xf>
    <xf numFmtId="0" fontId="1" fillId="0" borderId="0" xfId="2" applyAlignment="1">
      <alignment horizontal="center"/>
    </xf>
    <xf numFmtId="0" fontId="1" fillId="0" borderId="18" xfId="2" applyBorder="1" applyAlignment="1">
      <alignment horizontal="center"/>
    </xf>
    <xf numFmtId="0" fontId="1" fillId="0" borderId="6" xfId="2" applyBorder="1" applyAlignment="1">
      <alignment horizontal="center"/>
    </xf>
    <xf numFmtId="0" fontId="1" fillId="0" borderId="19" xfId="2" applyBorder="1" applyAlignment="1">
      <alignment horizontal="center"/>
    </xf>
    <xf numFmtId="0" fontId="1" fillId="0" borderId="7" xfId="2" applyBorder="1" applyAlignment="1">
      <alignment horizontal="center"/>
    </xf>
    <xf numFmtId="0" fontId="0" fillId="0" borderId="7" xfId="3" applyNumberFormat="1" applyFont="1" applyFill="1" applyBorder="1" applyAlignment="1">
      <alignment horizontal="center"/>
    </xf>
    <xf numFmtId="1" fontId="0" fillId="0" borderId="7" xfId="3" applyNumberFormat="1" applyFont="1" applyFill="1" applyBorder="1" applyAlignment="1">
      <alignment horizontal="center"/>
    </xf>
    <xf numFmtId="0" fontId="1" fillId="0" borderId="14" xfId="2" applyBorder="1" applyAlignment="1">
      <alignment horizontal="right"/>
    </xf>
    <xf numFmtId="0" fontId="0" fillId="0" borderId="15" xfId="3" applyNumberFormat="1" applyFont="1" applyFill="1" applyBorder="1" applyAlignment="1">
      <alignment horizontal="center"/>
    </xf>
    <xf numFmtId="164" fontId="0" fillId="0" borderId="15" xfId="3" applyNumberFormat="1" applyFont="1" applyFill="1" applyBorder="1" applyAlignment="1">
      <alignment horizontal="center"/>
    </xf>
    <xf numFmtId="0" fontId="0" fillId="0" borderId="16" xfId="3" applyNumberFormat="1" applyFont="1" applyFill="1" applyBorder="1" applyAlignment="1">
      <alignment horizontal="center"/>
    </xf>
    <xf numFmtId="0" fontId="1" fillId="0" borderId="7" xfId="3" applyNumberFormat="1" applyFont="1" applyFill="1" applyBorder="1" applyAlignment="1">
      <alignment horizontal="center"/>
    </xf>
    <xf numFmtId="1" fontId="1" fillId="0" borderId="7" xfId="3" applyNumberFormat="1" applyFont="1" applyFill="1" applyBorder="1" applyAlignment="1">
      <alignment horizontal="center"/>
    </xf>
    <xf numFmtId="0" fontId="1" fillId="0" borderId="23" xfId="2" applyBorder="1" applyAlignment="1">
      <alignment horizontal="center"/>
    </xf>
    <xf numFmtId="0" fontId="1" fillId="0" borderId="12" xfId="3" applyNumberFormat="1" applyFont="1" applyFill="1" applyBorder="1" applyAlignment="1">
      <alignment horizontal="center"/>
    </xf>
    <xf numFmtId="1" fontId="1" fillId="0" borderId="12" xfId="3" applyNumberFormat="1" applyFont="1" applyFill="1" applyBorder="1" applyAlignment="1">
      <alignment horizontal="center"/>
    </xf>
    <xf numFmtId="0" fontId="5" fillId="0" borderId="12" xfId="3" applyNumberFormat="1" applyFont="1" applyFill="1" applyBorder="1" applyAlignment="1">
      <alignment horizontal="center"/>
    </xf>
    <xf numFmtId="0" fontId="1" fillId="0" borderId="8" xfId="3" applyNumberFormat="1" applyFont="1" applyFill="1" applyBorder="1" applyAlignment="1">
      <alignment horizontal="center"/>
    </xf>
    <xf numFmtId="0" fontId="1" fillId="0" borderId="13" xfId="3" applyNumberFormat="1" applyFont="1" applyFill="1" applyBorder="1" applyAlignment="1">
      <alignment horizontal="center"/>
    </xf>
    <xf numFmtId="0" fontId="0" fillId="0" borderId="8" xfId="3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2" fillId="0" borderId="24" xfId="0" applyFont="1" applyBorder="1" applyAlignment="1">
      <alignment horizontal="center" wrapText="1"/>
    </xf>
    <xf numFmtId="0" fontId="2" fillId="0" borderId="25" xfId="0" applyFont="1" applyBorder="1" applyAlignment="1">
      <alignment horizontal="center" wrapText="1"/>
    </xf>
    <xf numFmtId="0" fontId="2" fillId="0" borderId="26" xfId="0" applyFont="1" applyBorder="1" applyAlignment="1">
      <alignment horizontal="center" wrapText="1"/>
    </xf>
    <xf numFmtId="0" fontId="0" fillId="0" borderId="9" xfId="0" applyBorder="1" applyAlignment="1">
      <alignment horizontal="center"/>
    </xf>
    <xf numFmtId="9" fontId="0" fillId="0" borderId="17" xfId="0" applyNumberFormat="1" applyBorder="1" applyAlignment="1">
      <alignment horizontal="center"/>
    </xf>
    <xf numFmtId="9" fontId="0" fillId="0" borderId="10" xfId="0" applyNumberFormat="1" applyBorder="1" applyAlignment="1">
      <alignment horizontal="center"/>
    </xf>
    <xf numFmtId="9" fontId="0" fillId="0" borderId="11" xfId="0" applyNumberFormat="1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19" xfId="0" applyBorder="1" applyAlignment="1">
      <alignment horizontal="center"/>
    </xf>
    <xf numFmtId="9" fontId="0" fillId="0" borderId="12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7" xfId="0" applyBorder="1" applyAlignment="1">
      <alignment horizontal="center" wrapText="1"/>
    </xf>
    <xf numFmtId="9" fontId="0" fillId="0" borderId="19" xfId="0" applyNumberFormat="1" applyBorder="1" applyAlignment="1">
      <alignment horizontal="center"/>
    </xf>
    <xf numFmtId="0" fontId="1" fillId="0" borderId="17" xfId="2" applyBorder="1" applyAlignment="1">
      <alignment horizontal="center"/>
    </xf>
    <xf numFmtId="0" fontId="1" fillId="0" borderId="10" xfId="2" applyBorder="1" applyAlignment="1">
      <alignment horizontal="center"/>
    </xf>
    <xf numFmtId="0" fontId="1" fillId="0" borderId="11" xfId="2" applyBorder="1" applyAlignment="1">
      <alignment horizontal="center"/>
    </xf>
    <xf numFmtId="0" fontId="2" fillId="0" borderId="1" xfId="2" applyFont="1" applyBorder="1" applyAlignment="1">
      <alignment horizontal="center" wrapText="1"/>
    </xf>
    <xf numFmtId="0" fontId="2" fillId="0" borderId="2" xfId="2" applyFont="1" applyBorder="1" applyAlignment="1">
      <alignment horizontal="center" wrapText="1"/>
    </xf>
    <xf numFmtId="0" fontId="2" fillId="0" borderId="3" xfId="2" applyFont="1" applyBorder="1" applyAlignment="1">
      <alignment horizontal="center" wrapText="1"/>
    </xf>
    <xf numFmtId="0" fontId="2" fillId="0" borderId="24" xfId="2" applyFont="1" applyBorder="1" applyAlignment="1">
      <alignment horizontal="center" wrapText="1"/>
    </xf>
    <xf numFmtId="0" fontId="2" fillId="0" borderId="25" xfId="2" applyFont="1" applyBorder="1" applyAlignment="1">
      <alignment horizontal="center" wrapText="1"/>
    </xf>
    <xf numFmtId="0" fontId="2" fillId="0" borderId="26" xfId="2" applyFont="1" applyBorder="1" applyAlignment="1">
      <alignment horizontal="center" wrapText="1"/>
    </xf>
    <xf numFmtId="0" fontId="1" fillId="0" borderId="9" xfId="2" applyBorder="1" applyAlignment="1">
      <alignment horizontal="center"/>
    </xf>
    <xf numFmtId="9" fontId="1" fillId="0" borderId="17" xfId="2" applyNumberFormat="1" applyBorder="1" applyAlignment="1">
      <alignment horizontal="center"/>
    </xf>
    <xf numFmtId="9" fontId="1" fillId="0" borderId="10" xfId="2" applyNumberFormat="1" applyBorder="1" applyAlignment="1">
      <alignment horizontal="center"/>
    </xf>
    <xf numFmtId="9" fontId="1" fillId="0" borderId="11" xfId="2" applyNumberFormat="1" applyBorder="1" applyAlignment="1">
      <alignment horizontal="center"/>
    </xf>
    <xf numFmtId="0" fontId="1" fillId="0" borderId="12" xfId="2" applyBorder="1" applyAlignment="1">
      <alignment horizontal="center" wrapText="1"/>
    </xf>
    <xf numFmtId="0" fontId="1" fillId="0" borderId="27" xfId="2" applyBorder="1" applyAlignment="1">
      <alignment horizontal="center" wrapText="1"/>
    </xf>
    <xf numFmtId="0" fontId="1" fillId="0" borderId="19" xfId="2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</cellXfs>
  <cellStyles count="4">
    <cellStyle name="Normal" xfId="0" builtinId="0"/>
    <cellStyle name="Normal 2" xfId="2" xr:uid="{EE4B2BC9-D34E-4C83-B8EE-6F969A30EEC4}"/>
    <cellStyle name="Percent" xfId="1" builtinId="5"/>
    <cellStyle name="Percent 2" xfId="3" xr:uid="{97F43172-D808-42D5-B756-E6DA44C1F6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CA45B-8444-4BFC-9AFB-4CB99589DD29}">
  <sheetPr>
    <tabColor rgb="FFFFFF00"/>
  </sheetPr>
  <dimension ref="A2:J43"/>
  <sheetViews>
    <sheetView tabSelected="1" topLeftCell="A24" zoomScale="130" zoomScaleNormal="130" workbookViewId="0">
      <selection activeCell="B32" sqref="B32"/>
    </sheetView>
  </sheetViews>
  <sheetFormatPr defaultRowHeight="14.5" x14ac:dyDescent="0.35"/>
  <sheetData>
    <row r="2" spans="1:10" ht="15" thickBot="1" x14ac:dyDescent="0.4"/>
    <row r="3" spans="1:10" x14ac:dyDescent="0.35">
      <c r="A3" s="66" t="s">
        <v>92</v>
      </c>
      <c r="B3" s="67"/>
      <c r="C3" s="67"/>
      <c r="D3" s="67"/>
      <c r="E3" s="67"/>
      <c r="F3" s="67"/>
      <c r="G3" s="67"/>
      <c r="H3" s="67"/>
      <c r="I3" s="67"/>
      <c r="J3" s="68"/>
    </row>
    <row r="4" spans="1:10" x14ac:dyDescent="0.35">
      <c r="A4" s="69"/>
      <c r="B4" s="70"/>
      <c r="C4" s="70"/>
      <c r="D4" s="70"/>
      <c r="E4" s="70"/>
      <c r="F4" s="70"/>
      <c r="G4" s="70"/>
      <c r="H4" s="70"/>
      <c r="I4" s="70"/>
      <c r="J4" s="71"/>
    </row>
    <row r="5" spans="1:10" x14ac:dyDescent="0.35">
      <c r="A5" s="72" t="s">
        <v>135</v>
      </c>
      <c r="B5" s="73"/>
      <c r="C5" s="73"/>
      <c r="D5" s="73"/>
      <c r="E5" s="73"/>
      <c r="F5" s="73"/>
      <c r="G5" s="73"/>
      <c r="H5" s="73"/>
      <c r="I5" s="73"/>
      <c r="J5" s="74"/>
    </row>
    <row r="7" spans="1:10" x14ac:dyDescent="0.35">
      <c r="A7" s="30" t="s">
        <v>139</v>
      </c>
      <c r="B7" s="30"/>
    </row>
    <row r="8" spans="1:10" x14ac:dyDescent="0.35">
      <c r="A8" s="31" t="s">
        <v>126</v>
      </c>
      <c r="B8" s="30" t="s">
        <v>127</v>
      </c>
    </row>
    <row r="9" spans="1:10" x14ac:dyDescent="0.35">
      <c r="A9" s="1">
        <v>495</v>
      </c>
      <c r="B9" t="s">
        <v>140</v>
      </c>
    </row>
    <row r="11" spans="1:10" x14ac:dyDescent="0.35">
      <c r="A11" s="30" t="s">
        <v>128</v>
      </c>
      <c r="B11" s="30"/>
    </row>
    <row r="12" spans="1:10" x14ac:dyDescent="0.35">
      <c r="A12" s="31" t="s">
        <v>126</v>
      </c>
      <c r="B12" s="30" t="s">
        <v>127</v>
      </c>
    </row>
    <row r="13" spans="1:10" x14ac:dyDescent="0.35">
      <c r="A13" s="1">
        <v>565</v>
      </c>
      <c r="B13" t="s">
        <v>39</v>
      </c>
    </row>
    <row r="15" spans="1:10" x14ac:dyDescent="0.35">
      <c r="A15" s="30" t="s">
        <v>129</v>
      </c>
      <c r="B15" s="30"/>
    </row>
    <row r="16" spans="1:10" x14ac:dyDescent="0.35">
      <c r="A16" s="31" t="s">
        <v>126</v>
      </c>
      <c r="B16" s="30" t="s">
        <v>127</v>
      </c>
    </row>
    <row r="17" spans="1:2" x14ac:dyDescent="0.35">
      <c r="A17" s="1">
        <v>813</v>
      </c>
      <c r="B17" t="s">
        <v>38</v>
      </c>
    </row>
    <row r="18" spans="1:2" x14ac:dyDescent="0.35">
      <c r="A18" s="1">
        <v>814</v>
      </c>
      <c r="B18" t="s">
        <v>40</v>
      </c>
    </row>
    <row r="19" spans="1:2" x14ac:dyDescent="0.35">
      <c r="A19" s="1">
        <v>815</v>
      </c>
      <c r="B19" t="s">
        <v>41</v>
      </c>
    </row>
    <row r="20" spans="1:2" x14ac:dyDescent="0.35">
      <c r="A20" s="1">
        <v>816</v>
      </c>
      <c r="B20" t="s">
        <v>42</v>
      </c>
    </row>
    <row r="21" spans="1:2" x14ac:dyDescent="0.35">
      <c r="A21" s="1">
        <v>820</v>
      </c>
      <c r="B21" t="s">
        <v>130</v>
      </c>
    </row>
    <row r="22" spans="1:2" x14ac:dyDescent="0.35">
      <c r="A22" s="1">
        <v>821</v>
      </c>
      <c r="B22" t="s">
        <v>131</v>
      </c>
    </row>
    <row r="23" spans="1:2" x14ac:dyDescent="0.35">
      <c r="A23" s="1">
        <v>843</v>
      </c>
      <c r="B23" t="s">
        <v>44</v>
      </c>
    </row>
    <row r="24" spans="1:2" x14ac:dyDescent="0.35">
      <c r="A24" s="1">
        <v>848</v>
      </c>
      <c r="B24" t="s">
        <v>45</v>
      </c>
    </row>
    <row r="25" spans="1:2" x14ac:dyDescent="0.35">
      <c r="A25" s="1">
        <v>850</v>
      </c>
      <c r="B25" t="s">
        <v>46</v>
      </c>
    </row>
    <row r="26" spans="1:2" x14ac:dyDescent="0.35">
      <c r="A26" s="1">
        <v>857</v>
      </c>
      <c r="B26" t="s">
        <v>47</v>
      </c>
    </row>
    <row r="27" spans="1:2" x14ac:dyDescent="0.35">
      <c r="A27" s="1">
        <v>862</v>
      </c>
      <c r="B27" t="s">
        <v>48</v>
      </c>
    </row>
    <row r="28" spans="1:2" x14ac:dyDescent="0.35">
      <c r="A28" s="1">
        <v>863</v>
      </c>
      <c r="B28" t="s">
        <v>49</v>
      </c>
    </row>
    <row r="29" spans="1:2" x14ac:dyDescent="0.35">
      <c r="A29" s="1">
        <v>880</v>
      </c>
      <c r="B29" t="s">
        <v>50</v>
      </c>
    </row>
    <row r="30" spans="1:2" x14ac:dyDescent="0.35">
      <c r="A30" s="1">
        <v>881</v>
      </c>
      <c r="B30" t="s">
        <v>51</v>
      </c>
    </row>
    <row r="31" spans="1:2" x14ac:dyDescent="0.35">
      <c r="A31" s="1">
        <v>890</v>
      </c>
      <c r="B31" t="s">
        <v>144</v>
      </c>
    </row>
    <row r="33" spans="1:2" x14ac:dyDescent="0.35">
      <c r="A33" s="30" t="s">
        <v>132</v>
      </c>
      <c r="B33" s="30"/>
    </row>
    <row r="34" spans="1:2" x14ac:dyDescent="0.35">
      <c r="A34" s="31" t="s">
        <v>126</v>
      </c>
      <c r="B34" s="30" t="s">
        <v>127</v>
      </c>
    </row>
    <row r="35" spans="1:2" x14ac:dyDescent="0.35">
      <c r="A35" s="1">
        <v>912</v>
      </c>
      <c r="B35" t="s">
        <v>133</v>
      </c>
    </row>
    <row r="36" spans="1:2" x14ac:dyDescent="0.35">
      <c r="A36" s="1">
        <v>931</v>
      </c>
      <c r="B36" t="s">
        <v>134</v>
      </c>
    </row>
    <row r="37" spans="1:2" x14ac:dyDescent="0.35">
      <c r="A37" s="1">
        <v>932</v>
      </c>
      <c r="B37" t="s">
        <v>55</v>
      </c>
    </row>
    <row r="38" spans="1:2" x14ac:dyDescent="0.35">
      <c r="A38" s="1">
        <v>934</v>
      </c>
      <c r="B38" t="s">
        <v>56</v>
      </c>
    </row>
    <row r="39" spans="1:2" x14ac:dyDescent="0.35">
      <c r="A39" s="1">
        <v>935</v>
      </c>
      <c r="B39" t="s">
        <v>57</v>
      </c>
    </row>
    <row r="40" spans="1:2" x14ac:dyDescent="0.35">
      <c r="A40" s="1">
        <v>937</v>
      </c>
      <c r="B40" t="s">
        <v>138</v>
      </c>
    </row>
    <row r="41" spans="1:2" x14ac:dyDescent="0.35">
      <c r="A41" s="1">
        <v>938</v>
      </c>
      <c r="B41" t="s">
        <v>58</v>
      </c>
    </row>
    <row r="42" spans="1:2" x14ac:dyDescent="0.35">
      <c r="A42" s="1">
        <v>944</v>
      </c>
      <c r="B42" t="s">
        <v>59</v>
      </c>
    </row>
    <row r="43" spans="1:2" x14ac:dyDescent="0.35">
      <c r="A43" s="1">
        <v>945</v>
      </c>
      <c r="B43" t="s">
        <v>60</v>
      </c>
    </row>
  </sheetData>
  <mergeCells count="2">
    <mergeCell ref="A3:J4"/>
    <mergeCell ref="A5:J5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207D7-9A90-4820-B48C-722CFBDB6439}">
  <sheetPr>
    <tabColor rgb="FFFFFF00"/>
  </sheetPr>
  <dimension ref="A1:J17"/>
  <sheetViews>
    <sheetView zoomScale="130" zoomScaleNormal="130" workbookViewId="0">
      <selection activeCell="J17" sqref="J17"/>
    </sheetView>
  </sheetViews>
  <sheetFormatPr defaultColWidth="9.1796875" defaultRowHeight="14.5" x14ac:dyDescent="0.35"/>
  <cols>
    <col min="1" max="1" width="20.1796875" bestFit="1" customWidth="1"/>
    <col min="2" max="2" width="14.26953125" style="1" bestFit="1" customWidth="1"/>
    <col min="3" max="3" width="8.1796875" style="1" customWidth="1"/>
    <col min="4" max="4" width="10.54296875" style="1" customWidth="1"/>
    <col min="5" max="5" width="9.54296875" style="1" customWidth="1"/>
    <col min="6" max="6" width="12.1796875" style="1" customWidth="1"/>
    <col min="7" max="7" width="12.54296875" style="1" customWidth="1"/>
    <col min="8" max="8" width="8.81640625" style="1" bestFit="1" customWidth="1"/>
    <col min="9" max="9" width="14.1796875" style="1" customWidth="1"/>
    <col min="10" max="10" width="7" style="1" bestFit="1" customWidth="1"/>
  </cols>
  <sheetData>
    <row r="1" spans="1:10" ht="15" customHeight="1" x14ac:dyDescent="0.35">
      <c r="A1" s="66" t="s">
        <v>16</v>
      </c>
      <c r="B1" s="67"/>
      <c r="C1" s="67"/>
      <c r="D1" s="67"/>
      <c r="E1" s="67"/>
      <c r="F1" s="67"/>
      <c r="G1" s="67"/>
      <c r="H1" s="67"/>
      <c r="I1" s="67"/>
      <c r="J1" s="68"/>
    </row>
    <row r="2" spans="1:10" ht="15" customHeight="1" x14ac:dyDescent="0.35">
      <c r="A2" s="78"/>
      <c r="B2" s="79"/>
      <c r="C2" s="79"/>
      <c r="D2" s="79"/>
      <c r="E2" s="79"/>
      <c r="F2" s="79"/>
      <c r="G2" s="79"/>
      <c r="H2" s="79"/>
      <c r="I2" s="79"/>
      <c r="J2" s="80"/>
    </row>
    <row r="3" spans="1:10" x14ac:dyDescent="0.35">
      <c r="A3" s="81" t="s">
        <v>136</v>
      </c>
      <c r="B3" s="76"/>
      <c r="C3" s="76"/>
      <c r="D3" s="76"/>
      <c r="E3" s="76"/>
      <c r="F3" s="76"/>
      <c r="G3" s="76"/>
      <c r="H3" s="76"/>
      <c r="I3" s="76"/>
      <c r="J3" s="77"/>
    </row>
    <row r="4" spans="1:10" x14ac:dyDescent="0.35">
      <c r="A4" s="81"/>
      <c r="B4" s="76"/>
      <c r="C4" s="76"/>
      <c r="D4" s="76"/>
      <c r="E4" s="76"/>
      <c r="F4" s="76"/>
      <c r="G4" s="76"/>
      <c r="H4" s="76"/>
      <c r="I4" s="76"/>
      <c r="J4" s="77"/>
    </row>
    <row r="5" spans="1:10" x14ac:dyDescent="0.35">
      <c r="A5" s="2" t="s">
        <v>11</v>
      </c>
      <c r="B5" s="75">
        <v>495</v>
      </c>
      <c r="C5" s="76"/>
      <c r="D5" s="76"/>
      <c r="E5" s="76"/>
      <c r="F5" s="76"/>
      <c r="G5" s="76"/>
      <c r="H5" s="76"/>
      <c r="I5" s="76"/>
      <c r="J5" s="77"/>
    </row>
    <row r="6" spans="1:10" x14ac:dyDescent="0.35">
      <c r="A6" s="3" t="s">
        <v>12</v>
      </c>
      <c r="B6" s="75" t="s">
        <v>140</v>
      </c>
      <c r="C6" s="76"/>
      <c r="D6" s="76"/>
      <c r="E6" s="76"/>
      <c r="F6" s="76"/>
      <c r="G6" s="76"/>
      <c r="H6" s="76"/>
      <c r="I6" s="76"/>
      <c r="J6" s="77"/>
    </row>
    <row r="7" spans="1:10" x14ac:dyDescent="0.35">
      <c r="A7" s="3" t="s">
        <v>13</v>
      </c>
      <c r="B7" s="75" t="s">
        <v>14</v>
      </c>
      <c r="C7" s="76"/>
      <c r="D7" s="76"/>
      <c r="E7" s="76"/>
      <c r="F7" s="76"/>
      <c r="G7" s="76"/>
      <c r="H7" s="76"/>
      <c r="I7" s="76"/>
      <c r="J7" s="77"/>
    </row>
    <row r="8" spans="1:10" x14ac:dyDescent="0.35">
      <c r="A8" s="3" t="s">
        <v>1</v>
      </c>
      <c r="B8" s="75" t="s">
        <v>17</v>
      </c>
      <c r="C8" s="76"/>
      <c r="D8" s="76"/>
      <c r="E8" s="76"/>
      <c r="F8" s="76"/>
      <c r="G8" s="76"/>
      <c r="H8" s="76"/>
      <c r="I8" s="76"/>
      <c r="J8" s="77"/>
    </row>
    <row r="9" spans="1:10" x14ac:dyDescent="0.35">
      <c r="A9" s="3" t="s">
        <v>15</v>
      </c>
      <c r="B9" s="75">
        <v>2</v>
      </c>
      <c r="C9" s="76"/>
      <c r="D9" s="76"/>
      <c r="E9" s="76"/>
      <c r="F9" s="76"/>
      <c r="G9" s="76"/>
      <c r="H9" s="76"/>
      <c r="I9" s="76"/>
      <c r="J9" s="77"/>
    </row>
    <row r="10" spans="1:10" x14ac:dyDescent="0.35">
      <c r="A10" s="9" t="s">
        <v>18</v>
      </c>
      <c r="B10" s="82">
        <v>0.1925</v>
      </c>
      <c r="C10" s="83"/>
      <c r="D10" s="83"/>
      <c r="E10" s="83"/>
      <c r="F10" s="83"/>
      <c r="G10" s="83"/>
      <c r="H10" s="83"/>
      <c r="I10" s="83"/>
      <c r="J10" s="84"/>
    </row>
    <row r="11" spans="1:10" x14ac:dyDescent="0.35">
      <c r="A11" s="4"/>
      <c r="B11" s="75" t="s">
        <v>21</v>
      </c>
      <c r="C11" s="76"/>
      <c r="D11" s="76"/>
      <c r="E11" s="76"/>
      <c r="F11" s="76"/>
      <c r="G11" s="76"/>
      <c r="H11" s="76"/>
      <c r="I11" s="76"/>
      <c r="J11" s="77"/>
    </row>
    <row r="12" spans="1:10" x14ac:dyDescent="0.35">
      <c r="A12" s="4"/>
      <c r="B12" s="14"/>
      <c r="C12" s="15"/>
      <c r="D12" s="15"/>
      <c r="F12" s="15"/>
      <c r="G12" s="15"/>
      <c r="H12" s="15"/>
      <c r="I12" s="18"/>
      <c r="J12" s="16"/>
    </row>
    <row r="13" spans="1:10" ht="15" customHeight="1" x14ac:dyDescent="0.35">
      <c r="A13" s="4"/>
      <c r="B13" s="85" t="s">
        <v>24</v>
      </c>
      <c r="C13" s="85" t="s">
        <v>19</v>
      </c>
      <c r="D13" s="85" t="s">
        <v>20</v>
      </c>
      <c r="E13" s="85" t="s">
        <v>2</v>
      </c>
      <c r="F13" s="75" t="s">
        <v>22</v>
      </c>
      <c r="G13" s="76"/>
      <c r="H13" s="87"/>
      <c r="I13" s="85" t="s">
        <v>70</v>
      </c>
      <c r="J13" s="16"/>
    </row>
    <row r="14" spans="1:10" x14ac:dyDescent="0.35">
      <c r="A14" s="17" t="s">
        <v>9</v>
      </c>
      <c r="B14" s="86"/>
      <c r="C14" s="86"/>
      <c r="D14" s="86"/>
      <c r="E14" s="86"/>
      <c r="F14" s="22" t="s">
        <v>25</v>
      </c>
      <c r="G14" s="5" t="s">
        <v>26</v>
      </c>
      <c r="H14" s="14" t="s">
        <v>23</v>
      </c>
      <c r="I14" s="86"/>
      <c r="J14" s="16" t="s">
        <v>3</v>
      </c>
    </row>
    <row r="15" spans="1:10" x14ac:dyDescent="0.35">
      <c r="A15" s="34">
        <v>49.923000000000002</v>
      </c>
      <c r="B15" s="29" t="s">
        <v>64</v>
      </c>
      <c r="C15" s="29">
        <v>2024</v>
      </c>
      <c r="D15" s="29">
        <v>211</v>
      </c>
      <c r="E15" s="36">
        <v>18.5</v>
      </c>
      <c r="F15" s="37">
        <v>58.8</v>
      </c>
      <c r="G15" s="37">
        <v>22.7</v>
      </c>
      <c r="H15" s="37">
        <v>81.5</v>
      </c>
      <c r="I15" s="29">
        <v>3000</v>
      </c>
      <c r="J15" s="32">
        <v>35</v>
      </c>
    </row>
    <row r="16" spans="1:10" x14ac:dyDescent="0.35">
      <c r="A16" s="35">
        <v>60</v>
      </c>
      <c r="B16" s="29" t="s">
        <v>64</v>
      </c>
      <c r="C16" s="29">
        <v>2024</v>
      </c>
      <c r="D16" s="29">
        <v>160</v>
      </c>
      <c r="E16" s="36">
        <v>20</v>
      </c>
      <c r="F16" s="37">
        <v>40.6</v>
      </c>
      <c r="G16" s="37">
        <v>39.4</v>
      </c>
      <c r="H16" s="37">
        <v>80</v>
      </c>
      <c r="I16" s="10" t="s">
        <v>0</v>
      </c>
      <c r="J16" s="32">
        <v>35</v>
      </c>
    </row>
    <row r="17" spans="1:10" ht="15" thickBot="1" x14ac:dyDescent="0.4">
      <c r="A17" s="26"/>
      <c r="B17" s="12"/>
      <c r="C17" s="12"/>
      <c r="D17" s="12"/>
      <c r="E17" s="12"/>
      <c r="F17" s="12"/>
      <c r="G17" s="12"/>
      <c r="H17" s="12"/>
      <c r="I17" s="12"/>
      <c r="J17" s="13"/>
    </row>
  </sheetData>
  <mergeCells count="16">
    <mergeCell ref="B8:J8"/>
    <mergeCell ref="B9:J9"/>
    <mergeCell ref="B10:J10"/>
    <mergeCell ref="B11:J11"/>
    <mergeCell ref="B13:B14"/>
    <mergeCell ref="C13:C14"/>
    <mergeCell ref="D13:D14"/>
    <mergeCell ref="E13:E14"/>
    <mergeCell ref="F13:H13"/>
    <mergeCell ref="I13:I14"/>
    <mergeCell ref="B7:J7"/>
    <mergeCell ref="A1:J2"/>
    <mergeCell ref="A3:J3"/>
    <mergeCell ref="A4:J4"/>
    <mergeCell ref="B5:J5"/>
    <mergeCell ref="B6:J6"/>
  </mergeCells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6BD0B-E6C9-4FAA-9E06-BB992E8D67D4}">
  <sheetPr>
    <tabColor rgb="FFFFFF00"/>
  </sheetPr>
  <dimension ref="A1:J16"/>
  <sheetViews>
    <sheetView zoomScale="130" zoomScaleNormal="130" workbookViewId="0">
      <selection activeCell="B9" sqref="B9:J9"/>
    </sheetView>
  </sheetViews>
  <sheetFormatPr defaultColWidth="9.1796875" defaultRowHeight="14.5" x14ac:dyDescent="0.35"/>
  <cols>
    <col min="1" max="1" width="20.1796875" bestFit="1" customWidth="1"/>
    <col min="2" max="2" width="14.26953125" style="1" bestFit="1" customWidth="1"/>
    <col min="3" max="3" width="8.1796875" style="1" customWidth="1"/>
    <col min="4" max="4" width="10.54296875" style="1" customWidth="1"/>
    <col min="5" max="5" width="9.54296875" style="1" customWidth="1"/>
    <col min="6" max="6" width="12.1796875" style="1" customWidth="1"/>
    <col min="7" max="7" width="12.54296875" style="1" customWidth="1"/>
    <col min="8" max="8" width="8.81640625" style="1" bestFit="1" customWidth="1"/>
    <col min="9" max="9" width="14.1796875" style="1" customWidth="1"/>
    <col min="10" max="10" width="7" style="1" bestFit="1" customWidth="1"/>
  </cols>
  <sheetData>
    <row r="1" spans="1:10" x14ac:dyDescent="0.35">
      <c r="A1" s="66" t="s">
        <v>16</v>
      </c>
      <c r="B1" s="67"/>
      <c r="C1" s="67"/>
      <c r="D1" s="67"/>
      <c r="E1" s="67"/>
      <c r="F1" s="67"/>
      <c r="G1" s="67"/>
      <c r="H1" s="67"/>
      <c r="I1" s="67"/>
      <c r="J1" s="68"/>
    </row>
    <row r="2" spans="1:10" x14ac:dyDescent="0.35">
      <c r="A2" s="69"/>
      <c r="B2" s="70"/>
      <c r="C2" s="70"/>
      <c r="D2" s="70"/>
      <c r="E2" s="70"/>
      <c r="F2" s="70"/>
      <c r="G2" s="70"/>
      <c r="H2" s="70"/>
      <c r="I2" s="70"/>
      <c r="J2" s="71"/>
    </row>
    <row r="3" spans="1:10" x14ac:dyDescent="0.35">
      <c r="A3" s="72" t="s">
        <v>136</v>
      </c>
      <c r="B3" s="73"/>
      <c r="C3" s="73"/>
      <c r="D3" s="73"/>
      <c r="E3" s="73"/>
      <c r="F3" s="73"/>
      <c r="G3" s="73"/>
      <c r="H3" s="73"/>
      <c r="I3" s="73"/>
      <c r="J3" s="74"/>
    </row>
    <row r="4" spans="1:10" x14ac:dyDescent="0.35">
      <c r="A4" s="81"/>
      <c r="B4" s="76"/>
      <c r="C4" s="76"/>
      <c r="D4" s="76"/>
      <c r="E4" s="76"/>
      <c r="F4" s="76"/>
      <c r="G4" s="76"/>
      <c r="H4" s="76"/>
      <c r="I4" s="76"/>
      <c r="J4" s="77"/>
    </row>
    <row r="5" spans="1:10" x14ac:dyDescent="0.35">
      <c r="A5" s="2" t="s">
        <v>11</v>
      </c>
      <c r="B5" s="73">
        <v>565</v>
      </c>
      <c r="C5" s="73"/>
      <c r="D5" s="73"/>
      <c r="E5" s="73"/>
      <c r="F5" s="73"/>
      <c r="G5" s="73"/>
      <c r="H5" s="73"/>
      <c r="I5" s="73"/>
      <c r="J5" s="74"/>
    </row>
    <row r="6" spans="1:10" x14ac:dyDescent="0.35">
      <c r="A6" s="3" t="s">
        <v>12</v>
      </c>
      <c r="B6" s="73" t="s">
        <v>39</v>
      </c>
      <c r="C6" s="73"/>
      <c r="D6" s="73"/>
      <c r="E6" s="73"/>
      <c r="F6" s="73"/>
      <c r="G6" s="73"/>
      <c r="H6" s="73"/>
      <c r="I6" s="73"/>
      <c r="J6" s="74"/>
    </row>
    <row r="7" spans="1:10" x14ac:dyDescent="0.35">
      <c r="A7" s="3" t="s">
        <v>13</v>
      </c>
      <c r="B7" s="73" t="s">
        <v>14</v>
      </c>
      <c r="C7" s="73"/>
      <c r="D7" s="73"/>
      <c r="E7" s="73"/>
      <c r="F7" s="73"/>
      <c r="G7" s="73"/>
      <c r="H7" s="73"/>
      <c r="I7" s="73"/>
      <c r="J7" s="74"/>
    </row>
    <row r="8" spans="1:10" x14ac:dyDescent="0.35">
      <c r="A8" s="3" t="s">
        <v>1</v>
      </c>
      <c r="B8" s="73" t="s">
        <v>17</v>
      </c>
      <c r="C8" s="73"/>
      <c r="D8" s="73"/>
      <c r="E8" s="73"/>
      <c r="F8" s="73"/>
      <c r="G8" s="73"/>
      <c r="H8" s="73"/>
      <c r="I8" s="73"/>
      <c r="J8" s="74"/>
    </row>
    <row r="9" spans="1:10" x14ac:dyDescent="0.35">
      <c r="A9" s="3" t="s">
        <v>15</v>
      </c>
      <c r="B9" s="73">
        <v>1</v>
      </c>
      <c r="C9" s="73"/>
      <c r="D9" s="73"/>
      <c r="E9" s="73"/>
      <c r="F9" s="73"/>
      <c r="G9" s="73"/>
      <c r="H9" s="73"/>
      <c r="I9" s="73"/>
      <c r="J9" s="74"/>
    </row>
    <row r="10" spans="1:10" x14ac:dyDescent="0.35">
      <c r="A10" s="9" t="s">
        <v>18</v>
      </c>
      <c r="B10" s="88">
        <v>0.44</v>
      </c>
      <c r="C10" s="88"/>
      <c r="D10" s="88"/>
      <c r="E10" s="88"/>
      <c r="F10" s="88"/>
      <c r="G10" s="88"/>
      <c r="H10" s="88"/>
      <c r="I10" s="89"/>
      <c r="J10" s="90"/>
    </row>
    <row r="11" spans="1:10" x14ac:dyDescent="0.35">
      <c r="A11" s="4"/>
      <c r="B11" s="75" t="s">
        <v>21</v>
      </c>
      <c r="C11" s="76"/>
      <c r="D11" s="76"/>
      <c r="E11" s="76"/>
      <c r="F11" s="76"/>
      <c r="G11" s="76"/>
      <c r="H11" s="76"/>
      <c r="I11" s="76"/>
      <c r="J11" s="77"/>
    </row>
    <row r="12" spans="1:10" x14ac:dyDescent="0.35">
      <c r="A12" s="4"/>
      <c r="B12" s="14"/>
      <c r="C12" s="15"/>
      <c r="D12" s="15"/>
      <c r="F12" s="15"/>
      <c r="G12" s="15"/>
      <c r="H12" s="15"/>
      <c r="I12" s="18"/>
      <c r="J12" s="16"/>
    </row>
    <row r="13" spans="1:10" ht="15" customHeight="1" x14ac:dyDescent="0.35">
      <c r="A13" s="4"/>
      <c r="B13" s="91" t="s">
        <v>24</v>
      </c>
      <c r="C13" s="91" t="s">
        <v>19</v>
      </c>
      <c r="D13" s="91" t="s">
        <v>20</v>
      </c>
      <c r="E13" s="91" t="s">
        <v>2</v>
      </c>
      <c r="F13" s="76" t="s">
        <v>22</v>
      </c>
      <c r="G13" s="76"/>
      <c r="H13" s="76"/>
      <c r="I13" s="91" t="s">
        <v>70</v>
      </c>
      <c r="J13" s="16"/>
    </row>
    <row r="14" spans="1:10" x14ac:dyDescent="0.35">
      <c r="A14" s="17" t="s">
        <v>9</v>
      </c>
      <c r="B14" s="91"/>
      <c r="C14" s="91"/>
      <c r="D14" s="91"/>
      <c r="E14" s="91"/>
      <c r="F14" s="22" t="s">
        <v>25</v>
      </c>
      <c r="G14" s="5" t="s">
        <v>26</v>
      </c>
      <c r="H14" s="14" t="s">
        <v>23</v>
      </c>
      <c r="I14" s="91"/>
      <c r="J14" s="16" t="s">
        <v>3</v>
      </c>
    </row>
    <row r="15" spans="1:10" x14ac:dyDescent="0.35">
      <c r="A15" s="27">
        <v>7.2</v>
      </c>
      <c r="B15" s="29" t="s">
        <v>35</v>
      </c>
      <c r="C15" s="29">
        <v>1990</v>
      </c>
      <c r="D15" s="29" t="s">
        <v>0</v>
      </c>
      <c r="E15" s="28">
        <v>44</v>
      </c>
      <c r="F15" s="20">
        <v>24</v>
      </c>
      <c r="G15" s="20">
        <v>32</v>
      </c>
      <c r="H15" s="20">
        <v>56</v>
      </c>
      <c r="I15" s="28" t="s">
        <v>0</v>
      </c>
      <c r="J15" s="21">
        <v>23</v>
      </c>
    </row>
    <row r="16" spans="1:10" ht="15" thickBot="1" x14ac:dyDescent="0.4">
      <c r="A16" s="26"/>
      <c r="B16" s="12"/>
      <c r="C16" s="12"/>
      <c r="D16" s="12"/>
      <c r="E16" s="12"/>
      <c r="F16" s="12"/>
      <c r="G16" s="12"/>
      <c r="H16" s="12"/>
      <c r="I16" s="12"/>
      <c r="J16" s="13"/>
    </row>
  </sheetData>
  <mergeCells count="16">
    <mergeCell ref="B7:J7"/>
    <mergeCell ref="A1:J2"/>
    <mergeCell ref="A3:J3"/>
    <mergeCell ref="A4:J4"/>
    <mergeCell ref="B5:J5"/>
    <mergeCell ref="B6:J6"/>
    <mergeCell ref="B8:J8"/>
    <mergeCell ref="B9:J9"/>
    <mergeCell ref="B10:J10"/>
    <mergeCell ref="B11:J11"/>
    <mergeCell ref="B13:B14"/>
    <mergeCell ref="C13:C14"/>
    <mergeCell ref="D13:D14"/>
    <mergeCell ref="E13:E14"/>
    <mergeCell ref="F13:H13"/>
    <mergeCell ref="I13:I14"/>
  </mergeCells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0566F-1E18-4C98-9776-BB5F90BE9F45}">
  <sheetPr>
    <tabColor rgb="FFFFFF00"/>
  </sheetPr>
  <dimension ref="A1:J34"/>
  <sheetViews>
    <sheetView zoomScale="130" zoomScaleNormal="130" workbookViewId="0">
      <selection activeCell="A4" sqref="A4:K4"/>
    </sheetView>
  </sheetViews>
  <sheetFormatPr defaultColWidth="9.1796875" defaultRowHeight="14.5" x14ac:dyDescent="0.35"/>
  <cols>
    <col min="1" max="1" width="20.1796875" bestFit="1" customWidth="1"/>
    <col min="2" max="2" width="14.26953125" style="1" bestFit="1" customWidth="1"/>
    <col min="3" max="3" width="8.1796875" style="1" customWidth="1"/>
    <col min="4" max="4" width="10.54296875" style="1" customWidth="1"/>
    <col min="5" max="5" width="9.54296875" style="1" customWidth="1"/>
    <col min="6" max="6" width="12.1796875" style="1" customWidth="1"/>
    <col min="7" max="7" width="12.54296875" style="1" customWidth="1"/>
    <col min="8" max="8" width="8.81640625" style="1" bestFit="1" customWidth="1"/>
    <col min="9" max="9" width="14.1796875" style="1" customWidth="1"/>
    <col min="10" max="10" width="7" style="1" bestFit="1" customWidth="1"/>
  </cols>
  <sheetData>
    <row r="1" spans="1:10" x14ac:dyDescent="0.35">
      <c r="A1" s="66" t="s">
        <v>16</v>
      </c>
      <c r="B1" s="67"/>
      <c r="C1" s="67"/>
      <c r="D1" s="67"/>
      <c r="E1" s="67"/>
      <c r="F1" s="67"/>
      <c r="G1" s="67"/>
      <c r="H1" s="67"/>
      <c r="I1" s="67"/>
      <c r="J1" s="68"/>
    </row>
    <row r="2" spans="1:10" x14ac:dyDescent="0.35">
      <c r="A2" s="69"/>
      <c r="B2" s="70"/>
      <c r="C2" s="70"/>
      <c r="D2" s="70"/>
      <c r="E2" s="70"/>
      <c r="F2" s="70"/>
      <c r="G2" s="70"/>
      <c r="H2" s="70"/>
      <c r="I2" s="70"/>
      <c r="J2" s="71"/>
    </row>
    <row r="3" spans="1:10" x14ac:dyDescent="0.35">
      <c r="A3" s="72" t="s">
        <v>136</v>
      </c>
      <c r="B3" s="73"/>
      <c r="C3" s="73"/>
      <c r="D3" s="73"/>
      <c r="E3" s="73"/>
      <c r="F3" s="73"/>
      <c r="G3" s="73"/>
      <c r="H3" s="73"/>
      <c r="I3" s="73"/>
      <c r="J3" s="74"/>
    </row>
    <row r="4" spans="1:10" x14ac:dyDescent="0.35">
      <c r="A4" s="81"/>
      <c r="B4" s="76"/>
      <c r="C4" s="76"/>
      <c r="D4" s="76"/>
      <c r="E4" s="76"/>
      <c r="F4" s="76"/>
      <c r="G4" s="76"/>
      <c r="H4" s="76"/>
      <c r="I4" s="76"/>
      <c r="J4" s="77"/>
    </row>
    <row r="5" spans="1:10" x14ac:dyDescent="0.35">
      <c r="A5" s="2" t="s">
        <v>11</v>
      </c>
      <c r="B5" s="73">
        <v>813</v>
      </c>
      <c r="C5" s="73"/>
      <c r="D5" s="73"/>
      <c r="E5" s="73"/>
      <c r="F5" s="73"/>
      <c r="G5" s="73"/>
      <c r="H5" s="73"/>
      <c r="I5" s="73"/>
      <c r="J5" s="74"/>
    </row>
    <row r="6" spans="1:10" x14ac:dyDescent="0.35">
      <c r="A6" s="3" t="s">
        <v>12</v>
      </c>
      <c r="B6" s="73" t="s">
        <v>38</v>
      </c>
      <c r="C6" s="73"/>
      <c r="D6" s="73"/>
      <c r="E6" s="73"/>
      <c r="F6" s="73"/>
      <c r="G6" s="73"/>
      <c r="H6" s="73"/>
      <c r="I6" s="73"/>
      <c r="J6" s="74"/>
    </row>
    <row r="7" spans="1:10" x14ac:dyDescent="0.35">
      <c r="A7" s="3" t="s">
        <v>13</v>
      </c>
      <c r="B7" s="73" t="s">
        <v>14</v>
      </c>
      <c r="C7" s="73"/>
      <c r="D7" s="73"/>
      <c r="E7" s="73"/>
      <c r="F7" s="73"/>
      <c r="G7" s="73"/>
      <c r="H7" s="73"/>
      <c r="I7" s="73"/>
      <c r="J7" s="74"/>
    </row>
    <row r="8" spans="1:10" x14ac:dyDescent="0.35">
      <c r="A8" s="3" t="s">
        <v>1</v>
      </c>
      <c r="B8" s="73" t="s">
        <v>17</v>
      </c>
      <c r="C8" s="73"/>
      <c r="D8" s="73"/>
      <c r="E8" s="73"/>
      <c r="F8" s="73"/>
      <c r="G8" s="73"/>
      <c r="H8" s="73"/>
      <c r="I8" s="73"/>
      <c r="J8" s="74"/>
    </row>
    <row r="9" spans="1:10" x14ac:dyDescent="0.35">
      <c r="A9" s="3" t="s">
        <v>15</v>
      </c>
      <c r="B9" s="73">
        <v>19</v>
      </c>
      <c r="C9" s="73"/>
      <c r="D9" s="73"/>
      <c r="E9" s="73"/>
      <c r="F9" s="73"/>
      <c r="G9" s="73"/>
      <c r="H9" s="73"/>
      <c r="I9" s="73"/>
      <c r="J9" s="74"/>
    </row>
    <row r="10" spans="1:10" x14ac:dyDescent="0.35">
      <c r="A10" s="9" t="s">
        <v>18</v>
      </c>
      <c r="B10" s="88">
        <v>0.28999999999999998</v>
      </c>
      <c r="C10" s="88"/>
      <c r="D10" s="88"/>
      <c r="E10" s="88"/>
      <c r="F10" s="88"/>
      <c r="G10" s="88"/>
      <c r="H10" s="88"/>
      <c r="I10" s="89"/>
      <c r="J10" s="90"/>
    </row>
    <row r="11" spans="1:10" x14ac:dyDescent="0.35">
      <c r="A11" s="4"/>
      <c r="B11" s="75" t="s">
        <v>21</v>
      </c>
      <c r="C11" s="76"/>
      <c r="D11" s="76"/>
      <c r="E11" s="76"/>
      <c r="F11" s="76"/>
      <c r="G11" s="76"/>
      <c r="H11" s="76"/>
      <c r="I11" s="76"/>
      <c r="J11" s="77"/>
    </row>
    <row r="12" spans="1:10" x14ac:dyDescent="0.35">
      <c r="A12" s="4"/>
      <c r="B12" s="14"/>
      <c r="C12" s="15"/>
      <c r="D12" s="15"/>
      <c r="F12" s="15"/>
      <c r="G12" s="15"/>
      <c r="H12" s="15"/>
      <c r="I12" s="18"/>
      <c r="J12" s="16"/>
    </row>
    <row r="13" spans="1:10" ht="15" customHeight="1" x14ac:dyDescent="0.35">
      <c r="A13" s="4"/>
      <c r="B13" s="91" t="s">
        <v>24</v>
      </c>
      <c r="C13" s="91" t="s">
        <v>19</v>
      </c>
      <c r="D13" s="91" t="s">
        <v>20</v>
      </c>
      <c r="E13" s="91" t="s">
        <v>2</v>
      </c>
      <c r="F13" s="76" t="s">
        <v>22</v>
      </c>
      <c r="G13" s="76"/>
      <c r="H13" s="76"/>
      <c r="I13" s="91" t="s">
        <v>70</v>
      </c>
      <c r="J13" s="16"/>
    </row>
    <row r="14" spans="1:10" x14ac:dyDescent="0.35">
      <c r="A14" s="17" t="s">
        <v>9</v>
      </c>
      <c r="B14" s="91"/>
      <c r="C14" s="91"/>
      <c r="D14" s="91"/>
      <c r="E14" s="91"/>
      <c r="F14" s="22" t="s">
        <v>25</v>
      </c>
      <c r="G14" s="5" t="s">
        <v>26</v>
      </c>
      <c r="H14" s="14" t="s">
        <v>23</v>
      </c>
      <c r="I14" s="91"/>
      <c r="J14" s="16" t="s">
        <v>3</v>
      </c>
    </row>
    <row r="15" spans="1:10" x14ac:dyDescent="0.35">
      <c r="A15" s="17">
        <v>102</v>
      </c>
      <c r="B15" s="10" t="s">
        <v>27</v>
      </c>
      <c r="C15" s="10">
        <v>1996</v>
      </c>
      <c r="D15" s="10">
        <v>100</v>
      </c>
      <c r="E15" s="10">
        <v>37</v>
      </c>
      <c r="F15" s="10" t="s">
        <v>0</v>
      </c>
      <c r="G15" s="10" t="s">
        <v>0</v>
      </c>
      <c r="H15" s="10">
        <v>63</v>
      </c>
      <c r="I15" s="10">
        <v>737</v>
      </c>
      <c r="J15" s="11">
        <v>20</v>
      </c>
    </row>
    <row r="16" spans="1:10" x14ac:dyDescent="0.35">
      <c r="A16" s="17">
        <v>102</v>
      </c>
      <c r="B16" s="10" t="s">
        <v>27</v>
      </c>
      <c r="C16" s="10">
        <v>1996</v>
      </c>
      <c r="D16" s="10">
        <v>137</v>
      </c>
      <c r="E16" s="10">
        <v>44</v>
      </c>
      <c r="F16" s="10" t="s">
        <v>0</v>
      </c>
      <c r="G16" s="10" t="s">
        <v>0</v>
      </c>
      <c r="H16" s="10">
        <v>56</v>
      </c>
      <c r="I16" s="10">
        <v>1714</v>
      </c>
      <c r="J16" s="11">
        <v>20</v>
      </c>
    </row>
    <row r="17" spans="1:10" x14ac:dyDescent="0.35">
      <c r="A17" s="17">
        <v>130</v>
      </c>
      <c r="B17" s="10" t="s">
        <v>27</v>
      </c>
      <c r="C17" s="10">
        <v>1996</v>
      </c>
      <c r="D17" s="10">
        <v>204</v>
      </c>
      <c r="E17" s="10">
        <v>43</v>
      </c>
      <c r="F17" s="10" t="s">
        <v>0</v>
      </c>
      <c r="G17" s="10" t="s">
        <v>0</v>
      </c>
      <c r="H17" s="10">
        <v>57</v>
      </c>
      <c r="I17" s="10">
        <v>1066</v>
      </c>
      <c r="J17" s="11">
        <v>20</v>
      </c>
    </row>
    <row r="18" spans="1:10" x14ac:dyDescent="0.35">
      <c r="A18" s="17">
        <v>146</v>
      </c>
      <c r="B18" s="10" t="s">
        <v>27</v>
      </c>
      <c r="C18" s="10">
        <v>1996</v>
      </c>
      <c r="D18" s="10">
        <v>210</v>
      </c>
      <c r="E18" s="10">
        <v>35</v>
      </c>
      <c r="F18" s="10" t="s">
        <v>0</v>
      </c>
      <c r="G18" s="10" t="s">
        <v>0</v>
      </c>
      <c r="H18" s="10">
        <v>65</v>
      </c>
      <c r="I18" s="10">
        <v>3346</v>
      </c>
      <c r="J18" s="11">
        <v>20</v>
      </c>
    </row>
    <row r="19" spans="1:10" x14ac:dyDescent="0.35">
      <c r="A19" s="17">
        <v>167</v>
      </c>
      <c r="B19" s="10" t="s">
        <v>27</v>
      </c>
      <c r="C19" s="10">
        <v>1996</v>
      </c>
      <c r="D19" s="10">
        <v>172</v>
      </c>
      <c r="E19" s="10">
        <v>32</v>
      </c>
      <c r="F19" s="10" t="s">
        <v>0</v>
      </c>
      <c r="G19" s="10" t="s">
        <v>0</v>
      </c>
      <c r="H19" s="10">
        <v>68</v>
      </c>
      <c r="I19" s="10">
        <v>1165</v>
      </c>
      <c r="J19" s="11">
        <v>20</v>
      </c>
    </row>
    <row r="20" spans="1:10" x14ac:dyDescent="0.35">
      <c r="A20" s="17">
        <v>167</v>
      </c>
      <c r="B20" s="10" t="s">
        <v>27</v>
      </c>
      <c r="C20" s="10">
        <v>1996</v>
      </c>
      <c r="D20" s="10">
        <v>205</v>
      </c>
      <c r="E20" s="10">
        <v>26</v>
      </c>
      <c r="F20" s="10" t="s">
        <v>0</v>
      </c>
      <c r="G20" s="10" t="s">
        <v>0</v>
      </c>
      <c r="H20" s="10">
        <v>74</v>
      </c>
      <c r="I20" s="10">
        <v>1771</v>
      </c>
      <c r="J20" s="11">
        <v>20</v>
      </c>
    </row>
    <row r="21" spans="1:10" x14ac:dyDescent="0.35">
      <c r="A21" s="17">
        <v>173</v>
      </c>
      <c r="B21" s="10" t="s">
        <v>27</v>
      </c>
      <c r="C21" s="10">
        <v>1996</v>
      </c>
      <c r="D21" s="10">
        <v>158</v>
      </c>
      <c r="E21" s="10">
        <v>17</v>
      </c>
      <c r="F21" s="10" t="s">
        <v>0</v>
      </c>
      <c r="G21" s="10" t="s">
        <v>0</v>
      </c>
      <c r="H21" s="10">
        <v>83</v>
      </c>
      <c r="I21" s="10">
        <v>1622</v>
      </c>
      <c r="J21" s="11">
        <v>20</v>
      </c>
    </row>
    <row r="22" spans="1:10" x14ac:dyDescent="0.35">
      <c r="A22" s="17">
        <v>185</v>
      </c>
      <c r="B22" s="10" t="s">
        <v>28</v>
      </c>
      <c r="C22" s="10">
        <v>2007</v>
      </c>
      <c r="D22" s="10">
        <v>182</v>
      </c>
      <c r="E22" s="10">
        <v>13</v>
      </c>
      <c r="F22" s="10" t="s">
        <v>0</v>
      </c>
      <c r="G22" s="10" t="s">
        <v>0</v>
      </c>
      <c r="H22" s="10">
        <v>87</v>
      </c>
      <c r="I22" s="10">
        <v>3957</v>
      </c>
      <c r="J22" s="11">
        <v>28</v>
      </c>
    </row>
    <row r="23" spans="1:10" x14ac:dyDescent="0.35">
      <c r="A23" s="17">
        <v>199</v>
      </c>
      <c r="B23" s="10" t="s">
        <v>29</v>
      </c>
      <c r="C23" s="10">
        <v>2010</v>
      </c>
      <c r="D23" s="10">
        <v>341</v>
      </c>
      <c r="E23" s="10">
        <v>29</v>
      </c>
      <c r="F23" s="10" t="s">
        <v>0</v>
      </c>
      <c r="G23" s="10" t="s">
        <v>0</v>
      </c>
      <c r="H23" s="10">
        <v>71</v>
      </c>
      <c r="I23" s="10">
        <v>1360</v>
      </c>
      <c r="J23" s="11">
        <v>9</v>
      </c>
    </row>
    <row r="24" spans="1:10" x14ac:dyDescent="0.35">
      <c r="A24" s="17">
        <v>204</v>
      </c>
      <c r="B24" s="10" t="s">
        <v>30</v>
      </c>
      <c r="C24" s="10">
        <v>2007</v>
      </c>
      <c r="D24" s="10">
        <v>180</v>
      </c>
      <c r="E24" s="10">
        <v>14</v>
      </c>
      <c r="F24" s="10" t="s">
        <v>0</v>
      </c>
      <c r="G24" s="10" t="s">
        <v>0</v>
      </c>
      <c r="H24" s="10">
        <v>86</v>
      </c>
      <c r="I24" s="10">
        <v>3524</v>
      </c>
      <c r="J24" s="11">
        <v>28</v>
      </c>
    </row>
    <row r="25" spans="1:10" x14ac:dyDescent="0.35">
      <c r="A25" s="17">
        <v>205</v>
      </c>
      <c r="B25" s="10" t="s">
        <v>31</v>
      </c>
      <c r="C25" s="10">
        <v>2007</v>
      </c>
      <c r="D25" s="10">
        <v>196</v>
      </c>
      <c r="E25" s="10">
        <v>32</v>
      </c>
      <c r="F25" s="10" t="s">
        <v>0</v>
      </c>
      <c r="G25" s="10" t="s">
        <v>0</v>
      </c>
      <c r="H25" s="10">
        <v>68</v>
      </c>
      <c r="I25" s="10">
        <v>7048</v>
      </c>
      <c r="J25" s="11">
        <v>28</v>
      </c>
    </row>
    <row r="26" spans="1:10" x14ac:dyDescent="0.35">
      <c r="A26" s="17">
        <v>213</v>
      </c>
      <c r="B26" s="10" t="s">
        <v>32</v>
      </c>
      <c r="C26" s="10">
        <v>2007</v>
      </c>
      <c r="D26" s="10">
        <v>197</v>
      </c>
      <c r="E26" s="10">
        <v>36</v>
      </c>
      <c r="F26" s="10" t="s">
        <v>0</v>
      </c>
      <c r="G26" s="10" t="s">
        <v>0</v>
      </c>
      <c r="H26" s="10">
        <v>64</v>
      </c>
      <c r="I26" s="10">
        <v>8411</v>
      </c>
      <c r="J26" s="11">
        <v>28</v>
      </c>
    </row>
    <row r="27" spans="1:10" x14ac:dyDescent="0.35">
      <c r="A27" s="17">
        <v>213</v>
      </c>
      <c r="B27" s="10" t="s">
        <v>33</v>
      </c>
      <c r="C27" s="10">
        <v>2007</v>
      </c>
      <c r="D27" s="10">
        <v>621</v>
      </c>
      <c r="E27" s="10">
        <v>29</v>
      </c>
      <c r="F27" s="10" t="s">
        <v>0</v>
      </c>
      <c r="G27" s="10" t="s">
        <v>0</v>
      </c>
      <c r="H27" s="10">
        <v>71</v>
      </c>
      <c r="I27" s="10">
        <v>12523</v>
      </c>
      <c r="J27" s="11">
        <v>28</v>
      </c>
    </row>
    <row r="28" spans="1:10" x14ac:dyDescent="0.35">
      <c r="A28" s="17">
        <v>216</v>
      </c>
      <c r="B28" s="10" t="s">
        <v>33</v>
      </c>
      <c r="C28" s="10">
        <v>2007</v>
      </c>
      <c r="D28" s="10">
        <v>404</v>
      </c>
      <c r="E28" s="10">
        <v>26</v>
      </c>
      <c r="F28" s="10" t="s">
        <v>0</v>
      </c>
      <c r="G28" s="10" t="s">
        <v>0</v>
      </c>
      <c r="H28" s="10">
        <v>74</v>
      </c>
      <c r="I28" s="10">
        <v>10832</v>
      </c>
      <c r="J28" s="11">
        <v>28</v>
      </c>
    </row>
    <row r="29" spans="1:10" x14ac:dyDescent="0.35">
      <c r="A29" s="17">
        <v>217</v>
      </c>
      <c r="B29" s="10" t="s">
        <v>34</v>
      </c>
      <c r="C29" s="10">
        <v>2007</v>
      </c>
      <c r="D29" s="10">
        <v>490</v>
      </c>
      <c r="E29" s="10">
        <v>25</v>
      </c>
      <c r="F29" s="10" t="s">
        <v>0</v>
      </c>
      <c r="G29" s="10" t="s">
        <v>0</v>
      </c>
      <c r="H29" s="10">
        <v>75</v>
      </c>
      <c r="I29" s="10">
        <v>8835</v>
      </c>
      <c r="J29" s="11">
        <v>28</v>
      </c>
    </row>
    <row r="30" spans="1:10" x14ac:dyDescent="0.35">
      <c r="A30" s="17">
        <v>218</v>
      </c>
      <c r="B30" s="10" t="s">
        <v>27</v>
      </c>
      <c r="C30" s="10">
        <v>1996</v>
      </c>
      <c r="D30" s="10">
        <v>185</v>
      </c>
      <c r="E30" s="10">
        <v>29</v>
      </c>
      <c r="F30" s="10" t="s">
        <v>0</v>
      </c>
      <c r="G30" s="10" t="s">
        <v>0</v>
      </c>
      <c r="H30" s="10">
        <v>71</v>
      </c>
      <c r="I30" s="10">
        <v>1764</v>
      </c>
      <c r="J30" s="11">
        <v>20</v>
      </c>
    </row>
    <row r="31" spans="1:10" x14ac:dyDescent="0.35">
      <c r="A31" s="17">
        <v>220</v>
      </c>
      <c r="B31" s="10" t="s">
        <v>35</v>
      </c>
      <c r="C31" s="10">
        <v>2007</v>
      </c>
      <c r="D31" s="10">
        <v>119</v>
      </c>
      <c r="E31" s="10">
        <v>34</v>
      </c>
      <c r="F31" s="10" t="s">
        <v>0</v>
      </c>
      <c r="G31" s="10" t="s">
        <v>0</v>
      </c>
      <c r="H31" s="10">
        <v>66</v>
      </c>
      <c r="I31" s="10">
        <v>5809</v>
      </c>
      <c r="J31" s="11">
        <v>28</v>
      </c>
    </row>
    <row r="32" spans="1:10" x14ac:dyDescent="0.35">
      <c r="A32" s="17">
        <v>222</v>
      </c>
      <c r="B32" s="10" t="s">
        <v>36</v>
      </c>
      <c r="C32" s="10">
        <v>2007</v>
      </c>
      <c r="D32" s="10">
        <v>686</v>
      </c>
      <c r="E32" s="10">
        <v>34</v>
      </c>
      <c r="F32" s="10" t="s">
        <v>0</v>
      </c>
      <c r="G32" s="10" t="s">
        <v>0</v>
      </c>
      <c r="H32" s="10">
        <v>66</v>
      </c>
      <c r="I32" s="10">
        <v>6910</v>
      </c>
      <c r="J32" s="11">
        <v>28</v>
      </c>
    </row>
    <row r="33" spans="1:10" x14ac:dyDescent="0.35">
      <c r="A33" s="17">
        <v>226</v>
      </c>
      <c r="B33" s="10" t="s">
        <v>37</v>
      </c>
      <c r="C33" s="10">
        <v>2007</v>
      </c>
      <c r="D33" s="10">
        <v>286</v>
      </c>
      <c r="E33" s="10">
        <v>24</v>
      </c>
      <c r="F33" s="10" t="s">
        <v>0</v>
      </c>
      <c r="G33" s="10" t="s">
        <v>0</v>
      </c>
      <c r="H33" s="10">
        <v>76</v>
      </c>
      <c r="I33" s="10">
        <v>13026</v>
      </c>
      <c r="J33" s="11">
        <v>28</v>
      </c>
    </row>
    <row r="34" spans="1:10" ht="15" thickBot="1" x14ac:dyDescent="0.4">
      <c r="A34" s="7"/>
      <c r="B34" s="12"/>
      <c r="C34" s="8"/>
      <c r="D34" s="8"/>
      <c r="E34" s="12"/>
      <c r="F34" s="8"/>
      <c r="G34" s="8"/>
      <c r="H34" s="8"/>
      <c r="I34" s="12"/>
      <c r="J34" s="13"/>
    </row>
  </sheetData>
  <mergeCells count="16">
    <mergeCell ref="E13:E14"/>
    <mergeCell ref="B8:J8"/>
    <mergeCell ref="B9:J9"/>
    <mergeCell ref="B10:J10"/>
    <mergeCell ref="B11:J11"/>
    <mergeCell ref="F13:H13"/>
    <mergeCell ref="I13:I14"/>
    <mergeCell ref="B13:B14"/>
    <mergeCell ref="C13:C14"/>
    <mergeCell ref="D13:D14"/>
    <mergeCell ref="B7:J7"/>
    <mergeCell ref="A1:J2"/>
    <mergeCell ref="A3:J3"/>
    <mergeCell ref="A4:J4"/>
    <mergeCell ref="B5:J5"/>
    <mergeCell ref="B6:J6"/>
  </mergeCells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24ADF-2430-4177-A402-15A7CB7714C3}">
  <sheetPr>
    <tabColor rgb="FFFFFF00"/>
  </sheetPr>
  <dimension ref="A1:J25"/>
  <sheetViews>
    <sheetView zoomScale="130" zoomScaleNormal="130" workbookViewId="0">
      <selection activeCell="G17" sqref="G17"/>
    </sheetView>
  </sheetViews>
  <sheetFormatPr defaultColWidth="9.1796875" defaultRowHeight="14.5" x14ac:dyDescent="0.35"/>
  <cols>
    <col min="1" max="1" width="20.1796875" bestFit="1" customWidth="1"/>
    <col min="2" max="2" width="14.26953125" style="1" bestFit="1" customWidth="1"/>
    <col min="3" max="3" width="8.1796875" style="1" customWidth="1"/>
    <col min="4" max="4" width="10.54296875" style="1" customWidth="1"/>
    <col min="5" max="5" width="9.54296875" style="1" customWidth="1"/>
    <col min="6" max="6" width="12.1796875" style="1" customWidth="1"/>
    <col min="7" max="7" width="12.54296875" style="1" customWidth="1"/>
    <col min="8" max="8" width="8.81640625" style="1" bestFit="1" customWidth="1"/>
    <col min="9" max="9" width="14.1796875" style="1" customWidth="1"/>
    <col min="10" max="10" width="7" style="1" bestFit="1" customWidth="1"/>
  </cols>
  <sheetData>
    <row r="1" spans="1:10" x14ac:dyDescent="0.35">
      <c r="A1" s="66" t="s">
        <v>16</v>
      </c>
      <c r="B1" s="67"/>
      <c r="C1" s="67"/>
      <c r="D1" s="67"/>
      <c r="E1" s="67"/>
      <c r="F1" s="67"/>
      <c r="G1" s="67"/>
      <c r="H1" s="67"/>
      <c r="I1" s="67"/>
      <c r="J1" s="68"/>
    </row>
    <row r="2" spans="1:10" x14ac:dyDescent="0.35">
      <c r="A2" s="69"/>
      <c r="B2" s="70"/>
      <c r="C2" s="70"/>
      <c r="D2" s="70"/>
      <c r="E2" s="70"/>
      <c r="F2" s="70"/>
      <c r="G2" s="70"/>
      <c r="H2" s="70"/>
      <c r="I2" s="70"/>
      <c r="J2" s="71"/>
    </row>
    <row r="3" spans="1:10" x14ac:dyDescent="0.35">
      <c r="A3" s="72" t="s">
        <v>136</v>
      </c>
      <c r="B3" s="73"/>
      <c r="C3" s="73"/>
      <c r="D3" s="73"/>
      <c r="E3" s="73"/>
      <c r="F3" s="73"/>
      <c r="G3" s="73"/>
      <c r="H3" s="73"/>
      <c r="I3" s="73"/>
      <c r="J3" s="74"/>
    </row>
    <row r="4" spans="1:10" x14ac:dyDescent="0.35">
      <c r="A4" s="81"/>
      <c r="B4" s="76"/>
      <c r="C4" s="76"/>
      <c r="D4" s="76"/>
      <c r="E4" s="76"/>
      <c r="F4" s="76"/>
      <c r="G4" s="76"/>
      <c r="H4" s="76"/>
      <c r="I4" s="76"/>
      <c r="J4" s="77"/>
    </row>
    <row r="5" spans="1:10" x14ac:dyDescent="0.35">
      <c r="A5" s="2" t="s">
        <v>11</v>
      </c>
      <c r="B5" s="73">
        <v>813</v>
      </c>
      <c r="C5" s="73"/>
      <c r="D5" s="73"/>
      <c r="E5" s="73"/>
      <c r="F5" s="73"/>
      <c r="G5" s="73"/>
      <c r="H5" s="73"/>
      <c r="I5" s="73"/>
      <c r="J5" s="74"/>
    </row>
    <row r="6" spans="1:10" x14ac:dyDescent="0.35">
      <c r="A6" s="3" t="s">
        <v>12</v>
      </c>
      <c r="B6" s="73" t="s">
        <v>38</v>
      </c>
      <c r="C6" s="73"/>
      <c r="D6" s="73"/>
      <c r="E6" s="73"/>
      <c r="F6" s="73"/>
      <c r="G6" s="73"/>
      <c r="H6" s="73"/>
      <c r="I6" s="73"/>
      <c r="J6" s="74"/>
    </row>
    <row r="7" spans="1:10" x14ac:dyDescent="0.35">
      <c r="A7" s="3" t="s">
        <v>13</v>
      </c>
      <c r="B7" s="73" t="s">
        <v>14</v>
      </c>
      <c r="C7" s="73"/>
      <c r="D7" s="73"/>
      <c r="E7" s="73"/>
      <c r="F7" s="73"/>
      <c r="G7" s="73"/>
      <c r="H7" s="73"/>
      <c r="I7" s="73"/>
      <c r="J7" s="74"/>
    </row>
    <row r="8" spans="1:10" x14ac:dyDescent="0.35">
      <c r="A8" s="3" t="s">
        <v>1</v>
      </c>
      <c r="B8" s="73" t="s">
        <v>7</v>
      </c>
      <c r="C8" s="73"/>
      <c r="D8" s="73"/>
      <c r="E8" s="73"/>
      <c r="F8" s="73"/>
      <c r="G8" s="73"/>
      <c r="H8" s="73"/>
      <c r="I8" s="73"/>
      <c r="J8" s="74"/>
    </row>
    <row r="9" spans="1:10" x14ac:dyDescent="0.35">
      <c r="A9" s="3" t="s">
        <v>15</v>
      </c>
      <c r="B9" s="73">
        <v>10</v>
      </c>
      <c r="C9" s="73"/>
      <c r="D9" s="73"/>
      <c r="E9" s="73"/>
      <c r="F9" s="73"/>
      <c r="G9" s="73"/>
      <c r="H9" s="73"/>
      <c r="I9" s="73"/>
      <c r="J9" s="74"/>
    </row>
    <row r="10" spans="1:10" x14ac:dyDescent="0.35">
      <c r="A10" s="9" t="s">
        <v>18</v>
      </c>
      <c r="B10" s="88">
        <v>0.21</v>
      </c>
      <c r="C10" s="88"/>
      <c r="D10" s="88"/>
      <c r="E10" s="88"/>
      <c r="F10" s="88"/>
      <c r="G10" s="88"/>
      <c r="H10" s="88"/>
      <c r="I10" s="89"/>
      <c r="J10" s="90"/>
    </row>
    <row r="11" spans="1:10" x14ac:dyDescent="0.35">
      <c r="A11" s="4"/>
      <c r="B11" s="75" t="s">
        <v>21</v>
      </c>
      <c r="C11" s="76"/>
      <c r="D11" s="76"/>
      <c r="E11" s="76"/>
      <c r="F11" s="76"/>
      <c r="G11" s="76"/>
      <c r="H11" s="76"/>
      <c r="I11" s="76"/>
      <c r="J11" s="77"/>
    </row>
    <row r="12" spans="1:10" x14ac:dyDescent="0.35">
      <c r="A12" s="4"/>
      <c r="B12" s="14"/>
      <c r="C12" s="15"/>
      <c r="D12" s="15"/>
      <c r="F12" s="15"/>
      <c r="G12" s="15"/>
      <c r="H12" s="15"/>
      <c r="I12" s="18"/>
      <c r="J12" s="16"/>
    </row>
    <row r="13" spans="1:10" ht="15" customHeight="1" x14ac:dyDescent="0.35">
      <c r="A13" s="4"/>
      <c r="B13" s="91" t="s">
        <v>24</v>
      </c>
      <c r="C13" s="91" t="s">
        <v>19</v>
      </c>
      <c r="D13" s="91" t="s">
        <v>20</v>
      </c>
      <c r="E13" s="91" t="s">
        <v>2</v>
      </c>
      <c r="F13" s="76" t="s">
        <v>22</v>
      </c>
      <c r="G13" s="76"/>
      <c r="H13" s="76"/>
      <c r="I13" s="91" t="s">
        <v>70</v>
      </c>
      <c r="J13" s="16"/>
    </row>
    <row r="14" spans="1:10" x14ac:dyDescent="0.35">
      <c r="A14" s="17" t="s">
        <v>9</v>
      </c>
      <c r="B14" s="91"/>
      <c r="C14" s="91"/>
      <c r="D14" s="91"/>
      <c r="E14" s="91"/>
      <c r="F14" s="22" t="s">
        <v>25</v>
      </c>
      <c r="G14" s="5" t="s">
        <v>26</v>
      </c>
      <c r="H14" s="14" t="s">
        <v>23</v>
      </c>
      <c r="I14" s="91"/>
      <c r="J14" s="16" t="s">
        <v>3</v>
      </c>
    </row>
    <row r="15" spans="1:10" x14ac:dyDescent="0.35">
      <c r="A15" s="17">
        <v>185</v>
      </c>
      <c r="B15" s="10" t="s">
        <v>28</v>
      </c>
      <c r="C15" s="10">
        <v>2007</v>
      </c>
      <c r="D15" s="10">
        <v>162</v>
      </c>
      <c r="E15" s="10">
        <v>18</v>
      </c>
      <c r="F15" s="10" t="s">
        <v>0</v>
      </c>
      <c r="G15" s="10" t="s">
        <v>0</v>
      </c>
      <c r="H15" s="10">
        <v>82</v>
      </c>
      <c r="I15" s="10">
        <v>3871</v>
      </c>
      <c r="J15" s="11">
        <v>28</v>
      </c>
    </row>
    <row r="16" spans="1:10" x14ac:dyDescent="0.35">
      <c r="A16" s="17">
        <v>204</v>
      </c>
      <c r="B16" s="10" t="s">
        <v>30</v>
      </c>
      <c r="C16" s="10">
        <v>2007</v>
      </c>
      <c r="D16" s="10">
        <v>300</v>
      </c>
      <c r="E16" s="10">
        <v>11</v>
      </c>
      <c r="F16" s="10" t="s">
        <v>0</v>
      </c>
      <c r="G16" s="10" t="s">
        <v>0</v>
      </c>
      <c r="H16" s="10">
        <v>89</v>
      </c>
      <c r="I16" s="10">
        <v>4764</v>
      </c>
      <c r="J16" s="11">
        <v>28</v>
      </c>
    </row>
    <row r="17" spans="1:10" x14ac:dyDescent="0.35">
      <c r="A17" s="17">
        <v>205</v>
      </c>
      <c r="B17" s="10" t="s">
        <v>31</v>
      </c>
      <c r="C17" s="10">
        <v>2007</v>
      </c>
      <c r="D17" s="10">
        <v>360</v>
      </c>
      <c r="E17" s="10">
        <v>28</v>
      </c>
      <c r="F17" s="10" t="s">
        <v>0</v>
      </c>
      <c r="G17" s="10" t="s">
        <v>0</v>
      </c>
      <c r="H17" s="10">
        <v>72</v>
      </c>
      <c r="I17" s="10">
        <v>6144</v>
      </c>
      <c r="J17" s="11">
        <v>28</v>
      </c>
    </row>
    <row r="18" spans="1:10" x14ac:dyDescent="0.35">
      <c r="A18" s="17">
        <v>213</v>
      </c>
      <c r="B18" s="10" t="s">
        <v>32</v>
      </c>
      <c r="C18" s="10">
        <v>2007</v>
      </c>
      <c r="D18" s="10">
        <v>156</v>
      </c>
      <c r="E18" s="10">
        <v>13</v>
      </c>
      <c r="F18" s="10" t="s">
        <v>0</v>
      </c>
      <c r="G18" s="10" t="s">
        <v>0</v>
      </c>
      <c r="H18" s="10">
        <v>87</v>
      </c>
      <c r="I18" s="10">
        <v>7484</v>
      </c>
      <c r="J18" s="11">
        <v>28</v>
      </c>
    </row>
    <row r="19" spans="1:10" x14ac:dyDescent="0.35">
      <c r="A19" s="17">
        <v>213</v>
      </c>
      <c r="B19" s="10" t="s">
        <v>33</v>
      </c>
      <c r="C19" s="10">
        <v>2007</v>
      </c>
      <c r="D19" s="10">
        <v>748</v>
      </c>
      <c r="E19" s="10">
        <v>28</v>
      </c>
      <c r="F19" s="10" t="s">
        <v>0</v>
      </c>
      <c r="G19" s="10" t="s">
        <v>0</v>
      </c>
      <c r="H19" s="10">
        <v>72</v>
      </c>
      <c r="I19" s="10">
        <v>12332</v>
      </c>
      <c r="J19" s="11">
        <v>28</v>
      </c>
    </row>
    <row r="20" spans="1:10" x14ac:dyDescent="0.35">
      <c r="A20" s="17">
        <v>216</v>
      </c>
      <c r="B20" s="10" t="s">
        <v>33</v>
      </c>
      <c r="C20" s="10">
        <v>2007</v>
      </c>
      <c r="D20" s="10">
        <v>240</v>
      </c>
      <c r="E20" s="10">
        <v>16</v>
      </c>
      <c r="F20" s="10" t="s">
        <v>0</v>
      </c>
      <c r="G20" s="10" t="s">
        <v>0</v>
      </c>
      <c r="H20" s="10">
        <v>84</v>
      </c>
      <c r="I20" s="10">
        <v>11898</v>
      </c>
      <c r="J20" s="11">
        <v>28</v>
      </c>
    </row>
    <row r="21" spans="1:10" x14ac:dyDescent="0.35">
      <c r="A21" s="17">
        <v>217</v>
      </c>
      <c r="B21" s="10" t="s">
        <v>34</v>
      </c>
      <c r="C21" s="10">
        <v>2007</v>
      </c>
      <c r="D21" s="10">
        <v>441</v>
      </c>
      <c r="E21" s="10">
        <v>22</v>
      </c>
      <c r="F21" s="10" t="s">
        <v>0</v>
      </c>
      <c r="G21" s="10" t="s">
        <v>0</v>
      </c>
      <c r="H21" s="10">
        <v>78</v>
      </c>
      <c r="I21" s="10">
        <v>8256</v>
      </c>
      <c r="J21" s="11">
        <v>28</v>
      </c>
    </row>
    <row r="22" spans="1:10" x14ac:dyDescent="0.35">
      <c r="A22" s="17">
        <v>220</v>
      </c>
      <c r="B22" s="10" t="s">
        <v>35</v>
      </c>
      <c r="C22" s="10">
        <v>2007</v>
      </c>
      <c r="D22" s="10">
        <v>123</v>
      </c>
      <c r="E22" s="10">
        <v>26</v>
      </c>
      <c r="F22" s="10" t="s">
        <v>0</v>
      </c>
      <c r="G22" s="10" t="s">
        <v>0</v>
      </c>
      <c r="H22" s="10">
        <v>74</v>
      </c>
      <c r="I22" s="10">
        <v>7024</v>
      </c>
      <c r="J22" s="11">
        <v>28</v>
      </c>
    </row>
    <row r="23" spans="1:10" x14ac:dyDescent="0.35">
      <c r="A23" s="17">
        <v>222</v>
      </c>
      <c r="B23" s="10" t="s">
        <v>36</v>
      </c>
      <c r="C23" s="10">
        <v>2007</v>
      </c>
      <c r="D23" s="10">
        <v>810</v>
      </c>
      <c r="E23" s="10">
        <v>25</v>
      </c>
      <c r="F23" s="10" t="s">
        <v>0</v>
      </c>
      <c r="G23" s="10" t="s">
        <v>0</v>
      </c>
      <c r="H23" s="10">
        <v>75</v>
      </c>
      <c r="I23" s="10">
        <v>5429</v>
      </c>
      <c r="J23" s="11">
        <v>28</v>
      </c>
    </row>
    <row r="24" spans="1:10" x14ac:dyDescent="0.35">
      <c r="A24" s="17">
        <v>226</v>
      </c>
      <c r="B24" s="10" t="s">
        <v>37</v>
      </c>
      <c r="C24" s="10">
        <v>2007</v>
      </c>
      <c r="D24" s="10">
        <v>270</v>
      </c>
      <c r="E24" s="10">
        <v>26</v>
      </c>
      <c r="F24" s="10" t="s">
        <v>0</v>
      </c>
      <c r="G24" s="10" t="s">
        <v>0</v>
      </c>
      <c r="H24" s="10">
        <v>74</v>
      </c>
      <c r="I24" s="10">
        <v>12995</v>
      </c>
      <c r="J24" s="11">
        <v>28</v>
      </c>
    </row>
    <row r="25" spans="1:10" ht="15" thickBot="1" x14ac:dyDescent="0.4">
      <c r="A25" s="7"/>
      <c r="B25" s="12"/>
      <c r="C25" s="8"/>
      <c r="D25" s="8"/>
      <c r="E25" s="12"/>
      <c r="F25" s="8"/>
      <c r="G25" s="8"/>
      <c r="H25" s="8"/>
      <c r="I25" s="12"/>
      <c r="J25" s="13"/>
    </row>
  </sheetData>
  <mergeCells count="16">
    <mergeCell ref="B7:J7"/>
    <mergeCell ref="A1:J2"/>
    <mergeCell ref="A3:J3"/>
    <mergeCell ref="A4:J4"/>
    <mergeCell ref="B5:J5"/>
    <mergeCell ref="B6:J6"/>
    <mergeCell ref="B8:J8"/>
    <mergeCell ref="B9:J9"/>
    <mergeCell ref="B10:J10"/>
    <mergeCell ref="B11:J11"/>
    <mergeCell ref="B13:B14"/>
    <mergeCell ref="C13:C14"/>
    <mergeCell ref="D13:D14"/>
    <mergeCell ref="E13:E14"/>
    <mergeCell ref="F13:H13"/>
    <mergeCell ref="I13:I14"/>
  </mergeCells>
  <pageMargins left="0.7" right="0.7" top="0.75" bottom="0.75" header="0.3" footer="0.3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28601-808E-4B25-9E38-5348A3790030}">
  <sheetPr>
    <tabColor rgb="FFFFFF00"/>
  </sheetPr>
  <dimension ref="A1:J20"/>
  <sheetViews>
    <sheetView zoomScale="130" zoomScaleNormal="130" workbookViewId="0">
      <selection activeCell="B9" sqref="B9:J9"/>
    </sheetView>
  </sheetViews>
  <sheetFormatPr defaultColWidth="9.1796875" defaultRowHeight="14.5" x14ac:dyDescent="0.35"/>
  <cols>
    <col min="1" max="1" width="20.1796875" bestFit="1" customWidth="1"/>
    <col min="2" max="2" width="14.26953125" style="1" bestFit="1" customWidth="1"/>
    <col min="3" max="3" width="8.1796875" style="1" customWidth="1"/>
    <col min="4" max="4" width="10.54296875" style="1" customWidth="1"/>
    <col min="5" max="5" width="9.54296875" style="1" customWidth="1"/>
    <col min="6" max="6" width="12.1796875" style="1" customWidth="1"/>
    <col min="7" max="7" width="12.54296875" style="1" customWidth="1"/>
    <col min="8" max="8" width="8.81640625" style="1" bestFit="1" customWidth="1"/>
    <col min="9" max="9" width="14.1796875" style="1" customWidth="1"/>
    <col min="10" max="10" width="7" style="1" bestFit="1" customWidth="1"/>
  </cols>
  <sheetData>
    <row r="1" spans="1:10" x14ac:dyDescent="0.35">
      <c r="A1" s="66" t="s">
        <v>16</v>
      </c>
      <c r="B1" s="67"/>
      <c r="C1" s="67"/>
      <c r="D1" s="67"/>
      <c r="E1" s="67"/>
      <c r="F1" s="67"/>
      <c r="G1" s="67"/>
      <c r="H1" s="67"/>
      <c r="I1" s="67"/>
      <c r="J1" s="68"/>
    </row>
    <row r="2" spans="1:10" x14ac:dyDescent="0.35">
      <c r="A2" s="69"/>
      <c r="B2" s="70"/>
      <c r="C2" s="70"/>
      <c r="D2" s="70"/>
      <c r="E2" s="70"/>
      <c r="F2" s="70"/>
      <c r="G2" s="70"/>
      <c r="H2" s="70"/>
      <c r="I2" s="70"/>
      <c r="J2" s="71"/>
    </row>
    <row r="3" spans="1:10" x14ac:dyDescent="0.35">
      <c r="A3" s="72" t="s">
        <v>136</v>
      </c>
      <c r="B3" s="73"/>
      <c r="C3" s="73"/>
      <c r="D3" s="73"/>
      <c r="E3" s="73"/>
      <c r="F3" s="73"/>
      <c r="G3" s="73"/>
      <c r="H3" s="73"/>
      <c r="I3" s="73"/>
      <c r="J3" s="74"/>
    </row>
    <row r="4" spans="1:10" x14ac:dyDescent="0.35">
      <c r="A4" s="81"/>
      <c r="B4" s="76"/>
      <c r="C4" s="76"/>
      <c r="D4" s="76"/>
      <c r="E4" s="76"/>
      <c r="F4" s="76"/>
      <c r="G4" s="76"/>
      <c r="H4" s="76"/>
      <c r="I4" s="76"/>
      <c r="J4" s="77"/>
    </row>
    <row r="5" spans="1:10" x14ac:dyDescent="0.35">
      <c r="A5" s="2" t="s">
        <v>11</v>
      </c>
      <c r="B5" s="73">
        <v>814</v>
      </c>
      <c r="C5" s="73"/>
      <c r="D5" s="73"/>
      <c r="E5" s="73"/>
      <c r="F5" s="73"/>
      <c r="G5" s="73"/>
      <c r="H5" s="73"/>
      <c r="I5" s="73"/>
      <c r="J5" s="74"/>
    </row>
    <row r="6" spans="1:10" x14ac:dyDescent="0.35">
      <c r="A6" s="3" t="s">
        <v>12</v>
      </c>
      <c r="B6" s="73" t="s">
        <v>40</v>
      </c>
      <c r="C6" s="73"/>
      <c r="D6" s="73"/>
      <c r="E6" s="73"/>
      <c r="F6" s="73"/>
      <c r="G6" s="73"/>
      <c r="H6" s="73"/>
      <c r="I6" s="73"/>
      <c r="J6" s="74"/>
    </row>
    <row r="7" spans="1:10" x14ac:dyDescent="0.35">
      <c r="A7" s="3" t="s">
        <v>13</v>
      </c>
      <c r="B7" s="73" t="s">
        <v>14</v>
      </c>
      <c r="C7" s="73"/>
      <c r="D7" s="73"/>
      <c r="E7" s="73"/>
      <c r="F7" s="73"/>
      <c r="G7" s="73"/>
      <c r="H7" s="73"/>
      <c r="I7" s="73"/>
      <c r="J7" s="74"/>
    </row>
    <row r="8" spans="1:10" x14ac:dyDescent="0.35">
      <c r="A8" s="3" t="s">
        <v>1</v>
      </c>
      <c r="B8" s="73" t="s">
        <v>17</v>
      </c>
      <c r="C8" s="73"/>
      <c r="D8" s="73"/>
      <c r="E8" s="73"/>
      <c r="F8" s="73"/>
      <c r="G8" s="73"/>
      <c r="H8" s="73"/>
      <c r="I8" s="73"/>
      <c r="J8" s="74"/>
    </row>
    <row r="9" spans="1:10" x14ac:dyDescent="0.35">
      <c r="A9" s="3" t="s">
        <v>15</v>
      </c>
      <c r="B9" s="73">
        <v>5</v>
      </c>
      <c r="C9" s="73"/>
      <c r="D9" s="73"/>
      <c r="E9" s="73"/>
      <c r="F9" s="73"/>
      <c r="G9" s="73"/>
      <c r="H9" s="73"/>
      <c r="I9" s="73"/>
      <c r="J9" s="74"/>
    </row>
    <row r="10" spans="1:10" x14ac:dyDescent="0.35">
      <c r="A10" s="9" t="s">
        <v>18</v>
      </c>
      <c r="B10" s="88">
        <v>0.34</v>
      </c>
      <c r="C10" s="88"/>
      <c r="D10" s="88"/>
      <c r="E10" s="88"/>
      <c r="F10" s="88"/>
      <c r="G10" s="88"/>
      <c r="H10" s="88"/>
      <c r="I10" s="89"/>
      <c r="J10" s="90"/>
    </row>
    <row r="11" spans="1:10" x14ac:dyDescent="0.35">
      <c r="A11" s="4"/>
      <c r="B11" s="75" t="s">
        <v>21</v>
      </c>
      <c r="C11" s="76"/>
      <c r="D11" s="76"/>
      <c r="E11" s="76"/>
      <c r="F11" s="76"/>
      <c r="G11" s="76"/>
      <c r="H11" s="76"/>
      <c r="I11" s="76"/>
      <c r="J11" s="77"/>
    </row>
    <row r="12" spans="1:10" x14ac:dyDescent="0.35">
      <c r="A12" s="4"/>
      <c r="B12" s="14"/>
      <c r="C12" s="15"/>
      <c r="D12" s="15"/>
      <c r="F12" s="15"/>
      <c r="G12" s="15"/>
      <c r="H12" s="15"/>
      <c r="I12" s="18"/>
      <c r="J12" s="16"/>
    </row>
    <row r="13" spans="1:10" ht="15" customHeight="1" x14ac:dyDescent="0.35">
      <c r="A13" s="4"/>
      <c r="B13" s="91" t="s">
        <v>24</v>
      </c>
      <c r="C13" s="91" t="s">
        <v>19</v>
      </c>
      <c r="D13" s="91" t="s">
        <v>20</v>
      </c>
      <c r="E13" s="91" t="s">
        <v>2</v>
      </c>
      <c r="F13" s="76" t="s">
        <v>22</v>
      </c>
      <c r="G13" s="76"/>
      <c r="H13" s="76"/>
      <c r="I13" s="91" t="s">
        <v>70</v>
      </c>
      <c r="J13" s="16"/>
    </row>
    <row r="14" spans="1:10" x14ac:dyDescent="0.35">
      <c r="A14" s="17" t="s">
        <v>9</v>
      </c>
      <c r="B14" s="91"/>
      <c r="C14" s="91"/>
      <c r="D14" s="91"/>
      <c r="E14" s="91"/>
      <c r="F14" s="22" t="s">
        <v>25</v>
      </c>
      <c r="G14" s="5" t="s">
        <v>26</v>
      </c>
      <c r="H14" s="14" t="s">
        <v>23</v>
      </c>
      <c r="I14" s="91"/>
      <c r="J14" s="16" t="s">
        <v>3</v>
      </c>
    </row>
    <row r="15" spans="1:10" x14ac:dyDescent="0.35">
      <c r="A15" s="17">
        <v>8</v>
      </c>
      <c r="B15" s="10" t="s">
        <v>29</v>
      </c>
      <c r="C15" s="10">
        <v>2010</v>
      </c>
      <c r="D15" s="10">
        <v>145</v>
      </c>
      <c r="E15" s="10">
        <v>30</v>
      </c>
      <c r="F15" s="10" t="s">
        <v>0</v>
      </c>
      <c r="G15" s="10" t="s">
        <v>0</v>
      </c>
      <c r="H15" s="10">
        <v>70</v>
      </c>
      <c r="I15" s="10">
        <v>610</v>
      </c>
      <c r="J15" s="11">
        <v>9</v>
      </c>
    </row>
    <row r="16" spans="1:10" x14ac:dyDescent="0.35">
      <c r="A16" s="17">
        <v>10</v>
      </c>
      <c r="B16" s="10" t="s">
        <v>29</v>
      </c>
      <c r="C16" s="10">
        <v>2010</v>
      </c>
      <c r="D16" s="10">
        <v>127</v>
      </c>
      <c r="E16" s="10">
        <v>34</v>
      </c>
      <c r="F16" s="10" t="s">
        <v>0</v>
      </c>
      <c r="G16" s="10" t="s">
        <v>0</v>
      </c>
      <c r="H16" s="10">
        <v>66</v>
      </c>
      <c r="I16" s="10">
        <v>1284</v>
      </c>
      <c r="J16" s="11">
        <v>9</v>
      </c>
    </row>
    <row r="17" spans="1:10" x14ac:dyDescent="0.35">
      <c r="A17" s="17">
        <v>10</v>
      </c>
      <c r="B17" s="10" t="s">
        <v>29</v>
      </c>
      <c r="C17" s="10">
        <v>2010</v>
      </c>
      <c r="D17" s="10">
        <v>247</v>
      </c>
      <c r="E17" s="10">
        <v>40</v>
      </c>
      <c r="F17" s="10" t="s">
        <v>0</v>
      </c>
      <c r="G17" s="10" t="s">
        <v>0</v>
      </c>
      <c r="H17" s="10">
        <v>60</v>
      </c>
      <c r="I17" s="10">
        <v>3165</v>
      </c>
      <c r="J17" s="11">
        <v>9</v>
      </c>
    </row>
    <row r="18" spans="1:10" x14ac:dyDescent="0.35">
      <c r="A18" s="17">
        <v>10</v>
      </c>
      <c r="B18" s="10" t="s">
        <v>29</v>
      </c>
      <c r="C18" s="10">
        <v>2010</v>
      </c>
      <c r="D18" s="10">
        <v>154</v>
      </c>
      <c r="E18" s="10">
        <v>44</v>
      </c>
      <c r="F18" s="10" t="s">
        <v>0</v>
      </c>
      <c r="G18" s="10" t="s">
        <v>0</v>
      </c>
      <c r="H18" s="10">
        <v>56</v>
      </c>
      <c r="I18" s="10">
        <v>1573</v>
      </c>
      <c r="J18" s="11">
        <v>9</v>
      </c>
    </row>
    <row r="19" spans="1:10" x14ac:dyDescent="0.35">
      <c r="A19" s="17">
        <v>17</v>
      </c>
      <c r="B19" s="10" t="s">
        <v>29</v>
      </c>
      <c r="C19" s="10">
        <v>2010</v>
      </c>
      <c r="D19" s="10">
        <v>50</v>
      </c>
      <c r="E19" s="10">
        <v>22</v>
      </c>
      <c r="F19" s="10" t="s">
        <v>0</v>
      </c>
      <c r="G19" s="10" t="s">
        <v>0</v>
      </c>
      <c r="H19" s="10">
        <v>78</v>
      </c>
      <c r="I19" s="10">
        <v>1380</v>
      </c>
      <c r="J19" s="11">
        <v>9</v>
      </c>
    </row>
    <row r="20" spans="1:10" ht="15" thickBot="1" x14ac:dyDescent="0.4">
      <c r="A20" s="7"/>
      <c r="B20" s="12"/>
      <c r="C20" s="8"/>
      <c r="D20" s="8"/>
      <c r="E20" s="12"/>
      <c r="F20" s="8"/>
      <c r="G20" s="8"/>
      <c r="H20" s="8"/>
      <c r="I20" s="12"/>
      <c r="J20" s="13"/>
    </row>
  </sheetData>
  <mergeCells count="16">
    <mergeCell ref="B7:J7"/>
    <mergeCell ref="A1:J2"/>
    <mergeCell ref="A3:J3"/>
    <mergeCell ref="A4:J4"/>
    <mergeCell ref="B5:J5"/>
    <mergeCell ref="B6:J6"/>
    <mergeCell ref="B8:J8"/>
    <mergeCell ref="B9:J9"/>
    <mergeCell ref="B10:J10"/>
    <mergeCell ref="B11:J11"/>
    <mergeCell ref="B13:B14"/>
    <mergeCell ref="C13:C14"/>
    <mergeCell ref="D13:D14"/>
    <mergeCell ref="E13:E14"/>
    <mergeCell ref="F13:H13"/>
    <mergeCell ref="I13:I14"/>
  </mergeCells>
  <pageMargins left="0.7" right="0.7" top="0.75" bottom="0.75" header="0.3" footer="0.3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DBDB5-1FAC-4BFE-A000-1EEB60C3EF07}">
  <sheetPr>
    <tabColor rgb="FFFFFF00"/>
  </sheetPr>
  <dimension ref="A1:J27"/>
  <sheetViews>
    <sheetView topLeftCell="A4" zoomScale="130" zoomScaleNormal="130" workbookViewId="0">
      <selection activeCell="A4" sqref="A4:K4"/>
    </sheetView>
  </sheetViews>
  <sheetFormatPr defaultColWidth="9.1796875" defaultRowHeight="14.5" x14ac:dyDescent="0.35"/>
  <cols>
    <col min="1" max="1" width="20.1796875" bestFit="1" customWidth="1"/>
    <col min="2" max="2" width="14.26953125" style="1" bestFit="1" customWidth="1"/>
    <col min="3" max="3" width="8.1796875" style="1" customWidth="1"/>
    <col min="4" max="4" width="10.54296875" style="1" customWidth="1"/>
    <col min="5" max="5" width="9.54296875" style="1" customWidth="1"/>
    <col min="6" max="6" width="12.1796875" style="1" customWidth="1"/>
    <col min="7" max="7" width="12.54296875" style="1" customWidth="1"/>
    <col min="8" max="8" width="8.81640625" style="1" bestFit="1" customWidth="1"/>
    <col min="9" max="9" width="14.1796875" style="1" customWidth="1"/>
    <col min="10" max="10" width="7" style="1" bestFit="1" customWidth="1"/>
  </cols>
  <sheetData>
    <row r="1" spans="1:10" x14ac:dyDescent="0.35">
      <c r="A1" s="66" t="s">
        <v>16</v>
      </c>
      <c r="B1" s="67"/>
      <c r="C1" s="67"/>
      <c r="D1" s="67"/>
      <c r="E1" s="67"/>
      <c r="F1" s="67"/>
      <c r="G1" s="67"/>
      <c r="H1" s="67"/>
      <c r="I1" s="67"/>
      <c r="J1" s="68"/>
    </row>
    <row r="2" spans="1:10" x14ac:dyDescent="0.35">
      <c r="A2" s="69"/>
      <c r="B2" s="70"/>
      <c r="C2" s="70"/>
      <c r="D2" s="70"/>
      <c r="E2" s="70"/>
      <c r="F2" s="70"/>
      <c r="G2" s="70"/>
      <c r="H2" s="70"/>
      <c r="I2" s="70"/>
      <c r="J2" s="71"/>
    </row>
    <row r="3" spans="1:10" x14ac:dyDescent="0.35">
      <c r="A3" s="72" t="s">
        <v>136</v>
      </c>
      <c r="B3" s="73"/>
      <c r="C3" s="73"/>
      <c r="D3" s="73"/>
      <c r="E3" s="73"/>
      <c r="F3" s="73"/>
      <c r="G3" s="73"/>
      <c r="H3" s="73"/>
      <c r="I3" s="73"/>
      <c r="J3" s="74"/>
    </row>
    <row r="4" spans="1:10" x14ac:dyDescent="0.35">
      <c r="A4" s="81"/>
      <c r="B4" s="76"/>
      <c r="C4" s="76"/>
      <c r="D4" s="76"/>
      <c r="E4" s="76"/>
      <c r="F4" s="76"/>
      <c r="G4" s="76"/>
      <c r="H4" s="76"/>
      <c r="I4" s="76"/>
      <c r="J4" s="77"/>
    </row>
    <row r="5" spans="1:10" x14ac:dyDescent="0.35">
      <c r="A5" s="2" t="s">
        <v>11</v>
      </c>
      <c r="B5" s="73">
        <v>815</v>
      </c>
      <c r="C5" s="73"/>
      <c r="D5" s="73"/>
      <c r="E5" s="73"/>
      <c r="F5" s="73"/>
      <c r="G5" s="73"/>
      <c r="H5" s="73"/>
      <c r="I5" s="73"/>
      <c r="J5" s="74"/>
    </row>
    <row r="6" spans="1:10" x14ac:dyDescent="0.35">
      <c r="A6" s="3" t="s">
        <v>12</v>
      </c>
      <c r="B6" s="73" t="s">
        <v>41</v>
      </c>
      <c r="C6" s="73"/>
      <c r="D6" s="73"/>
      <c r="E6" s="73"/>
      <c r="F6" s="73"/>
      <c r="G6" s="73"/>
      <c r="H6" s="73"/>
      <c r="I6" s="73"/>
      <c r="J6" s="74"/>
    </row>
    <row r="7" spans="1:10" x14ac:dyDescent="0.35">
      <c r="A7" s="3" t="s">
        <v>13</v>
      </c>
      <c r="B7" s="73" t="s">
        <v>14</v>
      </c>
      <c r="C7" s="73"/>
      <c r="D7" s="73"/>
      <c r="E7" s="73"/>
      <c r="F7" s="73"/>
      <c r="G7" s="73"/>
      <c r="H7" s="73"/>
      <c r="I7" s="73"/>
      <c r="J7" s="74"/>
    </row>
    <row r="8" spans="1:10" x14ac:dyDescent="0.35">
      <c r="A8" s="3" t="s">
        <v>1</v>
      </c>
      <c r="B8" s="73" t="s">
        <v>17</v>
      </c>
      <c r="C8" s="73"/>
      <c r="D8" s="73"/>
      <c r="E8" s="73"/>
      <c r="F8" s="73"/>
      <c r="G8" s="73"/>
      <c r="H8" s="73"/>
      <c r="I8" s="73"/>
      <c r="J8" s="74"/>
    </row>
    <row r="9" spans="1:10" x14ac:dyDescent="0.35">
      <c r="A9" s="3" t="s">
        <v>15</v>
      </c>
      <c r="B9" s="73">
        <v>12</v>
      </c>
      <c r="C9" s="73"/>
      <c r="D9" s="73"/>
      <c r="E9" s="73"/>
      <c r="F9" s="73"/>
      <c r="G9" s="73"/>
      <c r="H9" s="73"/>
      <c r="I9" s="73"/>
      <c r="J9" s="74"/>
    </row>
    <row r="10" spans="1:10" x14ac:dyDescent="0.35">
      <c r="A10" s="9" t="s">
        <v>18</v>
      </c>
      <c r="B10" s="88">
        <v>0.2</v>
      </c>
      <c r="C10" s="88"/>
      <c r="D10" s="88"/>
      <c r="E10" s="88"/>
      <c r="F10" s="88"/>
      <c r="G10" s="88"/>
      <c r="H10" s="88"/>
      <c r="I10" s="89"/>
      <c r="J10" s="90"/>
    </row>
    <row r="11" spans="1:10" x14ac:dyDescent="0.35">
      <c r="A11" s="4"/>
      <c r="B11" s="75" t="s">
        <v>21</v>
      </c>
      <c r="C11" s="76"/>
      <c r="D11" s="76"/>
      <c r="E11" s="76"/>
      <c r="F11" s="76"/>
      <c r="G11" s="76"/>
      <c r="H11" s="76"/>
      <c r="I11" s="76"/>
      <c r="J11" s="77"/>
    </row>
    <row r="12" spans="1:10" x14ac:dyDescent="0.35">
      <c r="A12" s="4"/>
      <c r="B12" s="14"/>
      <c r="C12" s="15"/>
      <c r="D12" s="15"/>
      <c r="F12" s="15"/>
      <c r="G12" s="15"/>
      <c r="H12" s="15"/>
      <c r="I12" s="18"/>
      <c r="J12" s="16"/>
    </row>
    <row r="13" spans="1:10" ht="15" customHeight="1" x14ac:dyDescent="0.35">
      <c r="A13" s="4"/>
      <c r="B13" s="91" t="s">
        <v>24</v>
      </c>
      <c r="C13" s="91" t="s">
        <v>19</v>
      </c>
      <c r="D13" s="91" t="s">
        <v>20</v>
      </c>
      <c r="E13" s="91" t="s">
        <v>2</v>
      </c>
      <c r="F13" s="76" t="s">
        <v>22</v>
      </c>
      <c r="G13" s="76"/>
      <c r="H13" s="76"/>
      <c r="I13" s="91" t="s">
        <v>70</v>
      </c>
      <c r="J13" s="16"/>
    </row>
    <row r="14" spans="1:10" x14ac:dyDescent="0.35">
      <c r="A14" s="17" t="s">
        <v>9</v>
      </c>
      <c r="B14" s="91"/>
      <c r="C14" s="91"/>
      <c r="D14" s="91"/>
      <c r="E14" s="91"/>
      <c r="F14" s="22" t="s">
        <v>25</v>
      </c>
      <c r="G14" s="5" t="s">
        <v>26</v>
      </c>
      <c r="H14" s="14" t="s">
        <v>23</v>
      </c>
      <c r="I14" s="91"/>
      <c r="J14" s="16" t="s">
        <v>3</v>
      </c>
    </row>
    <row r="15" spans="1:10" x14ac:dyDescent="0.35">
      <c r="A15" s="17">
        <v>66</v>
      </c>
      <c r="B15" s="10" t="s">
        <v>61</v>
      </c>
      <c r="C15" s="10">
        <v>1990</v>
      </c>
      <c r="D15" s="10" t="s">
        <v>0</v>
      </c>
      <c r="E15" s="10">
        <v>19</v>
      </c>
      <c r="F15" s="10">
        <v>21</v>
      </c>
      <c r="G15" s="10">
        <v>60</v>
      </c>
      <c r="H15" s="10">
        <v>81</v>
      </c>
      <c r="I15" s="10" t="s">
        <v>0</v>
      </c>
      <c r="J15" s="11">
        <v>31</v>
      </c>
    </row>
    <row r="16" spans="1:10" x14ac:dyDescent="0.35">
      <c r="A16" s="17">
        <v>88</v>
      </c>
      <c r="B16" s="10" t="s">
        <v>61</v>
      </c>
      <c r="C16" s="10">
        <v>1990</v>
      </c>
      <c r="D16" s="10" t="s">
        <v>0</v>
      </c>
      <c r="E16" s="10">
        <v>23</v>
      </c>
      <c r="F16" s="10">
        <v>26</v>
      </c>
      <c r="G16" s="10">
        <v>51</v>
      </c>
      <c r="H16" s="10">
        <v>77</v>
      </c>
      <c r="I16" s="10" t="s">
        <v>0</v>
      </c>
      <c r="J16" s="11">
        <v>31</v>
      </c>
    </row>
    <row r="17" spans="1:10" x14ac:dyDescent="0.35">
      <c r="A17" s="17">
        <v>88</v>
      </c>
      <c r="B17" s="10" t="s">
        <v>61</v>
      </c>
      <c r="C17" s="10">
        <v>1990</v>
      </c>
      <c r="D17" s="10" t="s">
        <v>0</v>
      </c>
      <c r="E17" s="10">
        <v>19</v>
      </c>
      <c r="F17" s="10">
        <v>33</v>
      </c>
      <c r="G17" s="10">
        <v>48</v>
      </c>
      <c r="H17" s="10">
        <v>81</v>
      </c>
      <c r="I17" s="10" t="s">
        <v>0</v>
      </c>
      <c r="J17" s="11">
        <v>31</v>
      </c>
    </row>
    <row r="18" spans="1:10" x14ac:dyDescent="0.35">
      <c r="A18" s="17">
        <v>100</v>
      </c>
      <c r="B18" s="10" t="s">
        <v>61</v>
      </c>
      <c r="C18" s="10">
        <v>1990</v>
      </c>
      <c r="D18" s="10" t="s">
        <v>0</v>
      </c>
      <c r="E18" s="10">
        <v>22</v>
      </c>
      <c r="F18" s="10">
        <v>32</v>
      </c>
      <c r="G18" s="10">
        <v>46</v>
      </c>
      <c r="H18" s="10">
        <v>78</v>
      </c>
      <c r="I18" s="10" t="s">
        <v>0</v>
      </c>
      <c r="J18" s="11">
        <v>31</v>
      </c>
    </row>
    <row r="19" spans="1:10" x14ac:dyDescent="0.35">
      <c r="A19" s="17">
        <v>100</v>
      </c>
      <c r="B19" s="10" t="s">
        <v>61</v>
      </c>
      <c r="C19" s="10">
        <v>1990</v>
      </c>
      <c r="D19" s="10" t="s">
        <v>0</v>
      </c>
      <c r="E19" s="10">
        <v>29</v>
      </c>
      <c r="F19" s="10">
        <v>22</v>
      </c>
      <c r="G19" s="10">
        <v>49</v>
      </c>
      <c r="H19" s="10">
        <v>71</v>
      </c>
      <c r="I19" s="10" t="s">
        <v>0</v>
      </c>
      <c r="J19" s="11">
        <v>31</v>
      </c>
    </row>
    <row r="20" spans="1:10" x14ac:dyDescent="0.35">
      <c r="A20" s="17">
        <v>116</v>
      </c>
      <c r="B20" s="10" t="s">
        <v>62</v>
      </c>
      <c r="C20" s="10">
        <v>1994</v>
      </c>
      <c r="D20" s="10">
        <v>80</v>
      </c>
      <c r="E20" s="10">
        <v>29</v>
      </c>
      <c r="F20" s="10">
        <v>34</v>
      </c>
      <c r="G20" s="10">
        <v>37</v>
      </c>
      <c r="H20" s="10">
        <v>71</v>
      </c>
      <c r="I20" s="10">
        <v>1490</v>
      </c>
      <c r="J20" s="11">
        <v>3</v>
      </c>
    </row>
    <row r="21" spans="1:10" x14ac:dyDescent="0.35">
      <c r="A21" s="17">
        <v>116</v>
      </c>
      <c r="B21" s="10" t="s">
        <v>62</v>
      </c>
      <c r="C21" s="10">
        <v>1994</v>
      </c>
      <c r="D21" s="10">
        <v>80</v>
      </c>
      <c r="E21" s="10">
        <v>24</v>
      </c>
      <c r="F21" s="10">
        <v>46</v>
      </c>
      <c r="G21" s="10">
        <v>30</v>
      </c>
      <c r="H21" s="10">
        <v>76</v>
      </c>
      <c r="I21" s="10">
        <v>1620</v>
      </c>
      <c r="J21" s="11">
        <v>3</v>
      </c>
    </row>
    <row r="22" spans="1:10" x14ac:dyDescent="0.35">
      <c r="A22" s="17">
        <v>122</v>
      </c>
      <c r="B22" s="10" t="s">
        <v>63</v>
      </c>
      <c r="C22" s="10">
        <v>1994</v>
      </c>
      <c r="D22" s="10">
        <v>73</v>
      </c>
      <c r="E22" s="10">
        <v>31</v>
      </c>
      <c r="F22" s="10">
        <v>36</v>
      </c>
      <c r="G22" s="10">
        <v>33</v>
      </c>
      <c r="H22" s="10">
        <v>69</v>
      </c>
      <c r="I22" s="10">
        <v>1360</v>
      </c>
      <c r="J22" s="11">
        <v>24</v>
      </c>
    </row>
    <row r="23" spans="1:10" x14ac:dyDescent="0.35">
      <c r="A23" s="17">
        <v>126</v>
      </c>
      <c r="B23" s="10" t="s">
        <v>63</v>
      </c>
      <c r="C23" s="10">
        <v>1994</v>
      </c>
      <c r="D23" s="10">
        <v>45</v>
      </c>
      <c r="E23" s="10">
        <v>6</v>
      </c>
      <c r="F23" s="10">
        <v>69</v>
      </c>
      <c r="G23" s="10">
        <v>25</v>
      </c>
      <c r="H23" s="10">
        <v>94</v>
      </c>
      <c r="I23" s="10">
        <v>1230</v>
      </c>
      <c r="J23" s="11">
        <v>24</v>
      </c>
    </row>
    <row r="24" spans="1:10" x14ac:dyDescent="0.35">
      <c r="A24" s="17">
        <v>127</v>
      </c>
      <c r="B24" s="10" t="s">
        <v>63</v>
      </c>
      <c r="C24" s="10">
        <v>1994</v>
      </c>
      <c r="D24" s="10">
        <v>137</v>
      </c>
      <c r="E24" s="10">
        <v>12</v>
      </c>
      <c r="F24" s="10">
        <v>57</v>
      </c>
      <c r="G24" s="10">
        <v>31</v>
      </c>
      <c r="H24" s="10">
        <v>88</v>
      </c>
      <c r="I24" s="10">
        <v>1430</v>
      </c>
      <c r="J24" s="11">
        <v>24</v>
      </c>
    </row>
    <row r="25" spans="1:10" x14ac:dyDescent="0.35">
      <c r="A25" s="17">
        <v>128</v>
      </c>
      <c r="B25" s="10" t="s">
        <v>63</v>
      </c>
      <c r="C25" s="10">
        <v>1994</v>
      </c>
      <c r="D25" s="10">
        <v>48</v>
      </c>
      <c r="E25" s="10">
        <v>20</v>
      </c>
      <c r="F25" s="10">
        <v>46</v>
      </c>
      <c r="G25" s="10">
        <v>34</v>
      </c>
      <c r="H25" s="10">
        <v>80</v>
      </c>
      <c r="I25" s="10">
        <v>2560</v>
      </c>
      <c r="J25" s="11">
        <v>24</v>
      </c>
    </row>
    <row r="26" spans="1:10" x14ac:dyDescent="0.35">
      <c r="A26" s="17">
        <v>133</v>
      </c>
      <c r="B26" s="10" t="s">
        <v>63</v>
      </c>
      <c r="C26" s="10">
        <v>1994</v>
      </c>
      <c r="D26" s="10">
        <v>22</v>
      </c>
      <c r="E26" s="10">
        <v>6</v>
      </c>
      <c r="F26" s="10">
        <v>68</v>
      </c>
      <c r="G26" s="10">
        <v>26</v>
      </c>
      <c r="H26" s="10">
        <v>94</v>
      </c>
      <c r="I26" s="10">
        <v>3640</v>
      </c>
      <c r="J26" s="11">
        <v>24</v>
      </c>
    </row>
    <row r="27" spans="1:10" ht="15" thickBot="1" x14ac:dyDescent="0.4">
      <c r="A27" s="7"/>
      <c r="B27" s="12"/>
      <c r="C27" s="8"/>
      <c r="D27" s="8"/>
      <c r="E27" s="12"/>
      <c r="F27" s="8"/>
      <c r="G27" s="8"/>
      <c r="H27" s="8"/>
      <c r="I27" s="12"/>
      <c r="J27" s="13"/>
    </row>
  </sheetData>
  <mergeCells count="16">
    <mergeCell ref="B7:J7"/>
    <mergeCell ref="A1:J2"/>
    <mergeCell ref="A3:J3"/>
    <mergeCell ref="A4:J4"/>
    <mergeCell ref="B5:J5"/>
    <mergeCell ref="B6:J6"/>
    <mergeCell ref="B8:J8"/>
    <mergeCell ref="B9:J9"/>
    <mergeCell ref="B10:J10"/>
    <mergeCell ref="B11:J11"/>
    <mergeCell ref="B13:B14"/>
    <mergeCell ref="C13:C14"/>
    <mergeCell ref="D13:D14"/>
    <mergeCell ref="E13:E14"/>
    <mergeCell ref="F13:H13"/>
    <mergeCell ref="I13:I14"/>
  </mergeCells>
  <pageMargins left="0.7" right="0.7" top="0.75" bottom="0.75" header="0.3" footer="0.3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7F419-8680-4030-842C-DC02E4F902C5}">
  <sheetPr>
    <tabColor rgb="FFFFFF00"/>
  </sheetPr>
  <dimension ref="A1:J22"/>
  <sheetViews>
    <sheetView zoomScale="130" zoomScaleNormal="130" workbookViewId="0">
      <selection activeCell="A4" sqref="A4:K4"/>
    </sheetView>
  </sheetViews>
  <sheetFormatPr defaultColWidth="9.1796875" defaultRowHeight="14.5" x14ac:dyDescent="0.35"/>
  <cols>
    <col min="1" max="1" width="20.1796875" bestFit="1" customWidth="1"/>
    <col min="2" max="2" width="14.26953125" style="1" bestFit="1" customWidth="1"/>
    <col min="3" max="3" width="8.1796875" style="1" customWidth="1"/>
    <col min="4" max="4" width="10.54296875" style="1" customWidth="1"/>
    <col min="5" max="5" width="9.54296875" style="1" customWidth="1"/>
    <col min="6" max="6" width="12.1796875" style="1" customWidth="1"/>
    <col min="7" max="7" width="12.54296875" style="1" customWidth="1"/>
    <col min="8" max="8" width="8.81640625" style="1" bestFit="1" customWidth="1"/>
    <col min="9" max="9" width="14.1796875" style="1" customWidth="1"/>
    <col min="10" max="10" width="7" style="1" bestFit="1" customWidth="1"/>
  </cols>
  <sheetData>
    <row r="1" spans="1:10" x14ac:dyDescent="0.35">
      <c r="A1" s="66" t="s">
        <v>16</v>
      </c>
      <c r="B1" s="67"/>
      <c r="C1" s="67"/>
      <c r="D1" s="67"/>
      <c r="E1" s="67"/>
      <c r="F1" s="67"/>
      <c r="G1" s="67"/>
      <c r="H1" s="67"/>
      <c r="I1" s="67"/>
      <c r="J1" s="68"/>
    </row>
    <row r="2" spans="1:10" x14ac:dyDescent="0.35">
      <c r="A2" s="69"/>
      <c r="B2" s="70"/>
      <c r="C2" s="70"/>
      <c r="D2" s="70"/>
      <c r="E2" s="70"/>
      <c r="F2" s="70"/>
      <c r="G2" s="70"/>
      <c r="H2" s="70"/>
      <c r="I2" s="70"/>
      <c r="J2" s="71"/>
    </row>
    <row r="3" spans="1:10" x14ac:dyDescent="0.35">
      <c r="A3" s="72" t="s">
        <v>136</v>
      </c>
      <c r="B3" s="73"/>
      <c r="C3" s="73"/>
      <c r="D3" s="73"/>
      <c r="E3" s="73"/>
      <c r="F3" s="73"/>
      <c r="G3" s="73"/>
      <c r="H3" s="73"/>
      <c r="I3" s="73"/>
      <c r="J3" s="74"/>
    </row>
    <row r="4" spans="1:10" x14ac:dyDescent="0.35">
      <c r="A4" s="81"/>
      <c r="B4" s="76"/>
      <c r="C4" s="76"/>
      <c r="D4" s="76"/>
      <c r="E4" s="76"/>
      <c r="F4" s="76"/>
      <c r="G4" s="76"/>
      <c r="H4" s="76"/>
      <c r="I4" s="76"/>
      <c r="J4" s="77"/>
    </row>
    <row r="5" spans="1:10" x14ac:dyDescent="0.35">
      <c r="A5" s="2" t="s">
        <v>11</v>
      </c>
      <c r="B5" s="73">
        <v>815</v>
      </c>
      <c r="C5" s="73"/>
      <c r="D5" s="73"/>
      <c r="E5" s="73"/>
      <c r="F5" s="73"/>
      <c r="G5" s="73"/>
      <c r="H5" s="73"/>
      <c r="I5" s="73"/>
      <c r="J5" s="74"/>
    </row>
    <row r="6" spans="1:10" x14ac:dyDescent="0.35">
      <c r="A6" s="3" t="s">
        <v>12</v>
      </c>
      <c r="B6" s="73" t="s">
        <v>41</v>
      </c>
      <c r="C6" s="73"/>
      <c r="D6" s="73"/>
      <c r="E6" s="73"/>
      <c r="F6" s="73"/>
      <c r="G6" s="73"/>
      <c r="H6" s="73"/>
      <c r="I6" s="73"/>
      <c r="J6" s="74"/>
    </row>
    <row r="7" spans="1:10" x14ac:dyDescent="0.35">
      <c r="A7" s="3" t="s">
        <v>13</v>
      </c>
      <c r="B7" s="73" t="s">
        <v>14</v>
      </c>
      <c r="C7" s="73"/>
      <c r="D7" s="73"/>
      <c r="E7" s="73"/>
      <c r="F7" s="73"/>
      <c r="G7" s="73"/>
      <c r="H7" s="73"/>
      <c r="I7" s="73"/>
      <c r="J7" s="74"/>
    </row>
    <row r="8" spans="1:10" x14ac:dyDescent="0.35">
      <c r="A8" s="3" t="s">
        <v>1</v>
      </c>
      <c r="B8" s="73" t="s">
        <v>7</v>
      </c>
      <c r="C8" s="73"/>
      <c r="D8" s="73"/>
      <c r="E8" s="73"/>
      <c r="F8" s="73"/>
      <c r="G8" s="73"/>
      <c r="H8" s="73"/>
      <c r="I8" s="73"/>
      <c r="J8" s="74"/>
    </row>
    <row r="9" spans="1:10" x14ac:dyDescent="0.35">
      <c r="A9" s="3" t="s">
        <v>15</v>
      </c>
      <c r="B9" s="73">
        <v>7</v>
      </c>
      <c r="C9" s="73"/>
      <c r="D9" s="73"/>
      <c r="E9" s="73"/>
      <c r="F9" s="73"/>
      <c r="G9" s="73"/>
      <c r="H9" s="73"/>
      <c r="I9" s="73"/>
      <c r="J9" s="74"/>
    </row>
    <row r="10" spans="1:10" x14ac:dyDescent="0.35">
      <c r="A10" s="9" t="s">
        <v>18</v>
      </c>
      <c r="B10" s="88">
        <v>0.24</v>
      </c>
      <c r="C10" s="88"/>
      <c r="D10" s="88"/>
      <c r="E10" s="88"/>
      <c r="F10" s="88"/>
      <c r="G10" s="88"/>
      <c r="H10" s="88"/>
      <c r="I10" s="89"/>
      <c r="J10" s="90"/>
    </row>
    <row r="11" spans="1:10" x14ac:dyDescent="0.35">
      <c r="A11" s="4"/>
      <c r="B11" s="75" t="s">
        <v>21</v>
      </c>
      <c r="C11" s="76"/>
      <c r="D11" s="76"/>
      <c r="E11" s="76"/>
      <c r="F11" s="76"/>
      <c r="G11" s="76"/>
      <c r="H11" s="76"/>
      <c r="I11" s="76"/>
      <c r="J11" s="77"/>
    </row>
    <row r="12" spans="1:10" x14ac:dyDescent="0.35">
      <c r="A12" s="4"/>
      <c r="B12" s="14"/>
      <c r="C12" s="15"/>
      <c r="D12" s="15"/>
      <c r="F12" s="15"/>
      <c r="G12" s="15"/>
      <c r="H12" s="15"/>
      <c r="I12" s="18"/>
      <c r="J12" s="16"/>
    </row>
    <row r="13" spans="1:10" ht="15" customHeight="1" x14ac:dyDescent="0.35">
      <c r="A13" s="4"/>
      <c r="B13" s="91" t="s">
        <v>24</v>
      </c>
      <c r="C13" s="91" t="s">
        <v>19</v>
      </c>
      <c r="D13" s="91" t="s">
        <v>20</v>
      </c>
      <c r="E13" s="91" t="s">
        <v>2</v>
      </c>
      <c r="F13" s="76" t="s">
        <v>22</v>
      </c>
      <c r="G13" s="76"/>
      <c r="H13" s="76"/>
      <c r="I13" s="91" t="s">
        <v>70</v>
      </c>
      <c r="J13" s="16"/>
    </row>
    <row r="14" spans="1:10" x14ac:dyDescent="0.35">
      <c r="A14" s="17" t="s">
        <v>9</v>
      </c>
      <c r="B14" s="91"/>
      <c r="C14" s="91"/>
      <c r="D14" s="91"/>
      <c r="E14" s="91"/>
      <c r="F14" s="22" t="s">
        <v>25</v>
      </c>
      <c r="G14" s="5" t="s">
        <v>26</v>
      </c>
      <c r="H14" s="14" t="s">
        <v>23</v>
      </c>
      <c r="I14" s="91"/>
      <c r="J14" s="16" t="s">
        <v>3</v>
      </c>
    </row>
    <row r="15" spans="1:10" x14ac:dyDescent="0.35">
      <c r="A15" s="17">
        <v>116</v>
      </c>
      <c r="B15" s="10" t="s">
        <v>62</v>
      </c>
      <c r="C15" s="10">
        <v>1994</v>
      </c>
      <c r="D15" s="10">
        <v>80</v>
      </c>
      <c r="E15" s="10">
        <v>30</v>
      </c>
      <c r="F15" s="10">
        <v>40</v>
      </c>
      <c r="G15" s="10">
        <v>30</v>
      </c>
      <c r="H15" s="10">
        <v>70</v>
      </c>
      <c r="I15" s="10">
        <v>1660</v>
      </c>
      <c r="J15" s="11">
        <v>3</v>
      </c>
    </row>
    <row r="16" spans="1:10" x14ac:dyDescent="0.35">
      <c r="A16" s="17">
        <v>116</v>
      </c>
      <c r="B16" s="10" t="s">
        <v>62</v>
      </c>
      <c r="C16" s="10">
        <v>1994</v>
      </c>
      <c r="D16" s="10">
        <v>80</v>
      </c>
      <c r="E16" s="10">
        <v>46</v>
      </c>
      <c r="F16" s="10">
        <v>34</v>
      </c>
      <c r="G16" s="10">
        <v>20</v>
      </c>
      <c r="H16" s="10">
        <v>54</v>
      </c>
      <c r="I16" s="10">
        <v>1850</v>
      </c>
      <c r="J16" s="11">
        <v>3</v>
      </c>
    </row>
    <row r="17" spans="1:10" x14ac:dyDescent="0.35">
      <c r="A17" s="17">
        <v>122</v>
      </c>
      <c r="B17" s="10" t="s">
        <v>63</v>
      </c>
      <c r="C17" s="10">
        <v>1994</v>
      </c>
      <c r="D17" s="10" t="s">
        <v>0</v>
      </c>
      <c r="E17" s="10">
        <v>25</v>
      </c>
      <c r="F17" s="10">
        <v>42</v>
      </c>
      <c r="G17" s="10">
        <v>33</v>
      </c>
      <c r="H17" s="10">
        <v>75</v>
      </c>
      <c r="I17" s="10">
        <v>1360</v>
      </c>
      <c r="J17" s="11">
        <v>24</v>
      </c>
    </row>
    <row r="18" spans="1:10" x14ac:dyDescent="0.35">
      <c r="A18" s="17">
        <v>126</v>
      </c>
      <c r="B18" s="10" t="s">
        <v>63</v>
      </c>
      <c r="C18" s="10">
        <v>1994</v>
      </c>
      <c r="D18" s="10" t="s">
        <v>0</v>
      </c>
      <c r="E18" s="10">
        <v>12</v>
      </c>
      <c r="F18" s="10">
        <v>54</v>
      </c>
      <c r="G18" s="10">
        <v>34</v>
      </c>
      <c r="H18" s="10">
        <v>88</v>
      </c>
      <c r="I18" s="10">
        <v>1230</v>
      </c>
      <c r="J18" s="11">
        <v>24</v>
      </c>
    </row>
    <row r="19" spans="1:10" x14ac:dyDescent="0.35">
      <c r="A19" s="17">
        <v>127</v>
      </c>
      <c r="B19" s="10" t="s">
        <v>63</v>
      </c>
      <c r="C19" s="10">
        <v>1994</v>
      </c>
      <c r="D19" s="10" t="s">
        <v>0</v>
      </c>
      <c r="E19" s="10">
        <v>15</v>
      </c>
      <c r="F19" s="10">
        <v>71</v>
      </c>
      <c r="G19" s="10">
        <v>14</v>
      </c>
      <c r="H19" s="10">
        <v>85</v>
      </c>
      <c r="I19" s="10">
        <v>1430</v>
      </c>
      <c r="J19" s="11">
        <v>24</v>
      </c>
    </row>
    <row r="20" spans="1:10" x14ac:dyDescent="0.35">
      <c r="A20" s="17">
        <v>128</v>
      </c>
      <c r="B20" s="10" t="s">
        <v>63</v>
      </c>
      <c r="C20" s="10">
        <v>1994</v>
      </c>
      <c r="D20" s="10" t="s">
        <v>0</v>
      </c>
      <c r="E20" s="10">
        <v>28</v>
      </c>
      <c r="F20" s="10">
        <v>42</v>
      </c>
      <c r="G20" s="10">
        <v>30</v>
      </c>
      <c r="H20" s="10">
        <v>72</v>
      </c>
      <c r="I20" s="10">
        <v>2560</v>
      </c>
      <c r="J20" s="11">
        <v>24</v>
      </c>
    </row>
    <row r="21" spans="1:10" x14ac:dyDescent="0.35">
      <c r="A21" s="17">
        <v>133</v>
      </c>
      <c r="B21" s="10" t="s">
        <v>63</v>
      </c>
      <c r="C21" s="10">
        <v>1994</v>
      </c>
      <c r="D21" s="10" t="s">
        <v>0</v>
      </c>
      <c r="E21" s="10">
        <v>11</v>
      </c>
      <c r="F21" s="10">
        <v>88</v>
      </c>
      <c r="G21" s="10">
        <v>1</v>
      </c>
      <c r="H21" s="10">
        <v>89</v>
      </c>
      <c r="I21" s="10">
        <v>3640</v>
      </c>
      <c r="J21" s="11">
        <v>24</v>
      </c>
    </row>
    <row r="22" spans="1:10" ht="15" thickBot="1" x14ac:dyDescent="0.4">
      <c r="A22" s="7"/>
      <c r="B22" s="12"/>
      <c r="C22" s="8"/>
      <c r="D22" s="8"/>
      <c r="E22" s="12"/>
      <c r="F22" s="8"/>
      <c r="G22" s="8"/>
      <c r="H22" s="8"/>
      <c r="I22" s="12"/>
      <c r="J22" s="13"/>
    </row>
  </sheetData>
  <mergeCells count="16">
    <mergeCell ref="B7:J7"/>
    <mergeCell ref="A1:J2"/>
    <mergeCell ref="A3:J3"/>
    <mergeCell ref="A4:J4"/>
    <mergeCell ref="B5:J5"/>
    <mergeCell ref="B6:J6"/>
    <mergeCell ref="B8:J8"/>
    <mergeCell ref="B9:J9"/>
    <mergeCell ref="B10:J10"/>
    <mergeCell ref="B11:J11"/>
    <mergeCell ref="B13:B14"/>
    <mergeCell ref="C13:C14"/>
    <mergeCell ref="D13:D14"/>
    <mergeCell ref="E13:E14"/>
    <mergeCell ref="F13:H13"/>
    <mergeCell ref="I13:I14"/>
  </mergeCells>
  <pageMargins left="0.7" right="0.7" top="0.75" bottom="0.75" header="0.3" footer="0.3"/>
  <pageSetup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EF2C3-F95D-47A0-B038-AC6C72E063A1}">
  <sheetPr>
    <tabColor rgb="FFFFFF00"/>
  </sheetPr>
  <dimension ref="A1:J17"/>
  <sheetViews>
    <sheetView zoomScale="130" zoomScaleNormal="130" workbookViewId="0">
      <selection activeCell="B9" sqref="B9:J9"/>
    </sheetView>
  </sheetViews>
  <sheetFormatPr defaultColWidth="9.1796875" defaultRowHeight="14.5" x14ac:dyDescent="0.35"/>
  <cols>
    <col min="1" max="1" width="20.1796875" bestFit="1" customWidth="1"/>
    <col min="2" max="2" width="14.26953125" style="1" bestFit="1" customWidth="1"/>
    <col min="3" max="3" width="8.1796875" style="1" customWidth="1"/>
    <col min="4" max="4" width="10.54296875" style="1" customWidth="1"/>
    <col min="5" max="5" width="9.54296875" style="1" customWidth="1"/>
    <col min="6" max="6" width="12.1796875" style="1" customWidth="1"/>
    <col min="7" max="7" width="12.54296875" style="1" customWidth="1"/>
    <col min="8" max="8" width="8.81640625" style="1" bestFit="1" customWidth="1"/>
    <col min="9" max="9" width="14.1796875" style="1" customWidth="1"/>
    <col min="10" max="10" width="7" style="1" bestFit="1" customWidth="1"/>
  </cols>
  <sheetData>
    <row r="1" spans="1:10" x14ac:dyDescent="0.35">
      <c r="A1" s="66" t="s">
        <v>16</v>
      </c>
      <c r="B1" s="67"/>
      <c r="C1" s="67"/>
      <c r="D1" s="67"/>
      <c r="E1" s="67"/>
      <c r="F1" s="67"/>
      <c r="G1" s="67"/>
      <c r="H1" s="67"/>
      <c r="I1" s="67"/>
      <c r="J1" s="68"/>
    </row>
    <row r="2" spans="1:10" x14ac:dyDescent="0.35">
      <c r="A2" s="69"/>
      <c r="B2" s="70"/>
      <c r="C2" s="70"/>
      <c r="D2" s="70"/>
      <c r="E2" s="70"/>
      <c r="F2" s="70"/>
      <c r="G2" s="70"/>
      <c r="H2" s="70"/>
      <c r="I2" s="70"/>
      <c r="J2" s="71"/>
    </row>
    <row r="3" spans="1:10" x14ac:dyDescent="0.35">
      <c r="A3" s="72" t="s">
        <v>136</v>
      </c>
      <c r="B3" s="73"/>
      <c r="C3" s="73"/>
      <c r="D3" s="73"/>
      <c r="E3" s="73"/>
      <c r="F3" s="73"/>
      <c r="G3" s="73"/>
      <c r="H3" s="73"/>
      <c r="I3" s="73"/>
      <c r="J3" s="74"/>
    </row>
    <row r="4" spans="1:10" x14ac:dyDescent="0.35">
      <c r="A4" s="81"/>
      <c r="B4" s="76"/>
      <c r="C4" s="76"/>
      <c r="D4" s="76"/>
      <c r="E4" s="76"/>
      <c r="F4" s="76"/>
      <c r="G4" s="76"/>
      <c r="H4" s="76"/>
      <c r="I4" s="76"/>
      <c r="J4" s="77"/>
    </row>
    <row r="5" spans="1:10" x14ac:dyDescent="0.35">
      <c r="A5" s="2" t="s">
        <v>11</v>
      </c>
      <c r="B5" s="73">
        <v>816</v>
      </c>
      <c r="C5" s="73"/>
      <c r="D5" s="73"/>
      <c r="E5" s="73"/>
      <c r="F5" s="73"/>
      <c r="G5" s="73"/>
      <c r="H5" s="73"/>
      <c r="I5" s="73"/>
      <c r="J5" s="74"/>
    </row>
    <row r="6" spans="1:10" x14ac:dyDescent="0.35">
      <c r="A6" s="3" t="s">
        <v>12</v>
      </c>
      <c r="B6" s="73" t="s">
        <v>42</v>
      </c>
      <c r="C6" s="73"/>
      <c r="D6" s="73"/>
      <c r="E6" s="73"/>
      <c r="F6" s="73"/>
      <c r="G6" s="73"/>
      <c r="H6" s="73"/>
      <c r="I6" s="73"/>
      <c r="J6" s="74"/>
    </row>
    <row r="7" spans="1:10" x14ac:dyDescent="0.35">
      <c r="A7" s="3" t="s">
        <v>13</v>
      </c>
      <c r="B7" s="73" t="s">
        <v>14</v>
      </c>
      <c r="C7" s="73"/>
      <c r="D7" s="73"/>
      <c r="E7" s="73"/>
      <c r="F7" s="73"/>
      <c r="G7" s="73"/>
      <c r="H7" s="73"/>
      <c r="I7" s="73"/>
      <c r="J7" s="74"/>
    </row>
    <row r="8" spans="1:10" x14ac:dyDescent="0.35">
      <c r="A8" s="3" t="s">
        <v>1</v>
      </c>
      <c r="B8" s="73" t="s">
        <v>17</v>
      </c>
      <c r="C8" s="73"/>
      <c r="D8" s="73"/>
      <c r="E8" s="73"/>
      <c r="F8" s="73"/>
      <c r="G8" s="73"/>
      <c r="H8" s="73"/>
      <c r="I8" s="73"/>
      <c r="J8" s="74"/>
    </row>
    <row r="9" spans="1:10" x14ac:dyDescent="0.35">
      <c r="A9" s="3" t="s">
        <v>15</v>
      </c>
      <c r="B9" s="73">
        <v>2</v>
      </c>
      <c r="C9" s="73"/>
      <c r="D9" s="73"/>
      <c r="E9" s="73"/>
      <c r="F9" s="73"/>
      <c r="G9" s="73"/>
      <c r="H9" s="73"/>
      <c r="I9" s="73"/>
      <c r="J9" s="74"/>
    </row>
    <row r="10" spans="1:10" x14ac:dyDescent="0.35">
      <c r="A10" s="9" t="s">
        <v>18</v>
      </c>
      <c r="B10" s="88">
        <v>0.26</v>
      </c>
      <c r="C10" s="88"/>
      <c r="D10" s="88"/>
      <c r="E10" s="88"/>
      <c r="F10" s="88"/>
      <c r="G10" s="88"/>
      <c r="H10" s="88"/>
      <c r="I10" s="89"/>
      <c r="J10" s="90"/>
    </row>
    <row r="11" spans="1:10" x14ac:dyDescent="0.35">
      <c r="A11" s="4"/>
      <c r="B11" s="75" t="s">
        <v>21</v>
      </c>
      <c r="C11" s="76"/>
      <c r="D11" s="76"/>
      <c r="E11" s="76"/>
      <c r="F11" s="76"/>
      <c r="G11" s="76"/>
      <c r="H11" s="76"/>
      <c r="I11" s="76"/>
      <c r="J11" s="77"/>
    </row>
    <row r="12" spans="1:10" x14ac:dyDescent="0.35">
      <c r="A12" s="4"/>
      <c r="B12" s="14"/>
      <c r="C12" s="15"/>
      <c r="D12" s="15"/>
      <c r="F12" s="15"/>
      <c r="G12" s="15"/>
      <c r="H12" s="15"/>
      <c r="I12" s="18"/>
      <c r="J12" s="16"/>
    </row>
    <row r="13" spans="1:10" ht="15" customHeight="1" x14ac:dyDescent="0.35">
      <c r="A13" s="4"/>
      <c r="B13" s="91" t="s">
        <v>24</v>
      </c>
      <c r="C13" s="91" t="s">
        <v>19</v>
      </c>
      <c r="D13" s="91" t="s">
        <v>20</v>
      </c>
      <c r="E13" s="91" t="s">
        <v>2</v>
      </c>
      <c r="F13" s="76" t="s">
        <v>22</v>
      </c>
      <c r="G13" s="76"/>
      <c r="H13" s="76"/>
      <c r="I13" s="91" t="s">
        <v>70</v>
      </c>
      <c r="J13" s="16"/>
    </row>
    <row r="14" spans="1:10" x14ac:dyDescent="0.35">
      <c r="A14" s="17" t="s">
        <v>9</v>
      </c>
      <c r="B14" s="91"/>
      <c r="C14" s="91"/>
      <c r="D14" s="91"/>
      <c r="E14" s="91"/>
      <c r="F14" s="22" t="s">
        <v>25</v>
      </c>
      <c r="G14" s="5" t="s">
        <v>26</v>
      </c>
      <c r="H14" s="14" t="s">
        <v>23</v>
      </c>
      <c r="I14" s="91"/>
      <c r="J14" s="16" t="s">
        <v>3</v>
      </c>
    </row>
    <row r="15" spans="1:10" x14ac:dyDescent="0.35">
      <c r="A15" s="17">
        <v>7.5</v>
      </c>
      <c r="B15" s="10" t="s">
        <v>64</v>
      </c>
      <c r="C15" s="10">
        <v>1999</v>
      </c>
      <c r="D15" s="10">
        <v>33</v>
      </c>
      <c r="E15" s="10">
        <v>21</v>
      </c>
      <c r="F15" s="10">
        <v>46</v>
      </c>
      <c r="G15" s="10">
        <v>33</v>
      </c>
      <c r="H15" s="10">
        <v>79</v>
      </c>
      <c r="I15" s="19" t="s">
        <v>0</v>
      </c>
      <c r="J15" s="11">
        <v>8</v>
      </c>
    </row>
    <row r="16" spans="1:10" x14ac:dyDescent="0.35">
      <c r="A16" s="17">
        <v>11</v>
      </c>
      <c r="B16" s="10" t="s">
        <v>64</v>
      </c>
      <c r="C16" s="10">
        <v>1999</v>
      </c>
      <c r="D16" s="10">
        <v>64</v>
      </c>
      <c r="E16" s="10">
        <v>30</v>
      </c>
      <c r="F16" s="10">
        <v>44</v>
      </c>
      <c r="G16" s="10">
        <v>26</v>
      </c>
      <c r="H16" s="10">
        <v>70</v>
      </c>
      <c r="I16" s="19" t="s">
        <v>0</v>
      </c>
      <c r="J16" s="11">
        <v>8</v>
      </c>
    </row>
    <row r="17" spans="1:10" ht="15" thickBot="1" x14ac:dyDescent="0.4">
      <c r="A17" s="7"/>
      <c r="B17" s="12"/>
      <c r="C17" s="8"/>
      <c r="D17" s="8"/>
      <c r="E17" s="12"/>
      <c r="F17" s="8"/>
      <c r="G17" s="8"/>
      <c r="H17" s="8"/>
      <c r="I17" s="12"/>
      <c r="J17" s="13"/>
    </row>
  </sheetData>
  <mergeCells count="16">
    <mergeCell ref="B7:J7"/>
    <mergeCell ref="A1:J2"/>
    <mergeCell ref="A3:J3"/>
    <mergeCell ref="A4:J4"/>
    <mergeCell ref="B5:J5"/>
    <mergeCell ref="B6:J6"/>
    <mergeCell ref="B8:J8"/>
    <mergeCell ref="B9:J9"/>
    <mergeCell ref="B10:J10"/>
    <mergeCell ref="B11:J11"/>
    <mergeCell ref="B13:B14"/>
    <mergeCell ref="C13:C14"/>
    <mergeCell ref="D13:D14"/>
    <mergeCell ref="E13:E14"/>
    <mergeCell ref="F13:H13"/>
    <mergeCell ref="I13:I14"/>
  </mergeCells>
  <pageMargins left="0.7" right="0.7" top="0.75" bottom="0.75" header="0.3" footer="0.3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FC75E-E66C-4629-A28D-0F55C5D64A64}">
  <sheetPr>
    <tabColor rgb="FFFFFF00"/>
  </sheetPr>
  <dimension ref="A1:J39"/>
  <sheetViews>
    <sheetView zoomScale="130" zoomScaleNormal="130" workbookViewId="0">
      <selection activeCell="A4" sqref="A4:K4"/>
    </sheetView>
  </sheetViews>
  <sheetFormatPr defaultColWidth="9.1796875" defaultRowHeight="14.5" x14ac:dyDescent="0.35"/>
  <cols>
    <col min="1" max="1" width="20.1796875" bestFit="1" customWidth="1"/>
    <col min="2" max="2" width="17.453125" style="1" customWidth="1"/>
    <col min="3" max="3" width="9.1796875" style="1" customWidth="1"/>
    <col min="4" max="4" width="10.54296875" style="1" customWidth="1"/>
    <col min="5" max="5" width="9.54296875" style="1" customWidth="1"/>
    <col min="6" max="6" width="12.1796875" style="1" customWidth="1"/>
    <col min="7" max="7" width="12.54296875" style="1" customWidth="1"/>
    <col min="8" max="8" width="8.81640625" style="1" bestFit="1" customWidth="1"/>
    <col min="9" max="9" width="14.1796875" style="1" customWidth="1"/>
    <col min="10" max="10" width="7" style="1" bestFit="1" customWidth="1"/>
  </cols>
  <sheetData>
    <row r="1" spans="1:10" x14ac:dyDescent="0.35">
      <c r="A1" s="66" t="s">
        <v>16</v>
      </c>
      <c r="B1" s="67"/>
      <c r="C1" s="67"/>
      <c r="D1" s="67"/>
      <c r="E1" s="67"/>
      <c r="F1" s="67"/>
      <c r="G1" s="67"/>
      <c r="H1" s="67"/>
      <c r="I1" s="67"/>
      <c r="J1" s="68"/>
    </row>
    <row r="2" spans="1:10" x14ac:dyDescent="0.35">
      <c r="A2" s="69"/>
      <c r="B2" s="70"/>
      <c r="C2" s="70"/>
      <c r="D2" s="70"/>
      <c r="E2" s="70"/>
      <c r="F2" s="70"/>
      <c r="G2" s="70"/>
      <c r="H2" s="70"/>
      <c r="I2" s="70"/>
      <c r="J2" s="71"/>
    </row>
    <row r="3" spans="1:10" x14ac:dyDescent="0.35">
      <c r="A3" s="72" t="s">
        <v>136</v>
      </c>
      <c r="B3" s="73"/>
      <c r="C3" s="73"/>
      <c r="D3" s="73"/>
      <c r="E3" s="73"/>
      <c r="F3" s="73"/>
      <c r="G3" s="73"/>
      <c r="H3" s="73"/>
      <c r="I3" s="73"/>
      <c r="J3" s="74"/>
    </row>
    <row r="4" spans="1:10" x14ac:dyDescent="0.35">
      <c r="A4" s="81"/>
      <c r="B4" s="76"/>
      <c r="C4" s="76"/>
      <c r="D4" s="76"/>
      <c r="E4" s="76"/>
      <c r="F4" s="76"/>
      <c r="G4" s="76"/>
      <c r="H4" s="76"/>
      <c r="I4" s="76"/>
      <c r="J4" s="77"/>
    </row>
    <row r="5" spans="1:10" x14ac:dyDescent="0.35">
      <c r="A5" s="2" t="s">
        <v>11</v>
      </c>
      <c r="B5" s="73">
        <v>820</v>
      </c>
      <c r="C5" s="73"/>
      <c r="D5" s="73"/>
      <c r="E5" s="73"/>
      <c r="F5" s="73"/>
      <c r="G5" s="73"/>
      <c r="H5" s="73"/>
      <c r="I5" s="73"/>
      <c r="J5" s="74"/>
    </row>
    <row r="6" spans="1:10" x14ac:dyDescent="0.35">
      <c r="A6" s="3" t="s">
        <v>12</v>
      </c>
      <c r="B6" s="73" t="s">
        <v>43</v>
      </c>
      <c r="C6" s="73"/>
      <c r="D6" s="73"/>
      <c r="E6" s="73"/>
      <c r="F6" s="73"/>
      <c r="G6" s="73"/>
      <c r="H6" s="73"/>
      <c r="I6" s="73"/>
      <c r="J6" s="74"/>
    </row>
    <row r="7" spans="1:10" x14ac:dyDescent="0.35">
      <c r="A7" s="3" t="s">
        <v>13</v>
      </c>
      <c r="B7" s="73" t="s">
        <v>14</v>
      </c>
      <c r="C7" s="73"/>
      <c r="D7" s="73"/>
      <c r="E7" s="73"/>
      <c r="F7" s="73"/>
      <c r="G7" s="73"/>
      <c r="H7" s="73"/>
      <c r="I7" s="73"/>
      <c r="J7" s="74"/>
    </row>
    <row r="8" spans="1:10" x14ac:dyDescent="0.35">
      <c r="A8" s="3" t="s">
        <v>1</v>
      </c>
      <c r="B8" s="73" t="s">
        <v>17</v>
      </c>
      <c r="C8" s="73"/>
      <c r="D8" s="73"/>
      <c r="E8" s="73"/>
      <c r="F8" s="73"/>
      <c r="G8" s="73"/>
      <c r="H8" s="73"/>
      <c r="I8" s="73"/>
      <c r="J8" s="74"/>
    </row>
    <row r="9" spans="1:10" x14ac:dyDescent="0.35">
      <c r="A9" s="3" t="s">
        <v>15</v>
      </c>
      <c r="B9" s="75" t="s">
        <v>88</v>
      </c>
      <c r="C9" s="76"/>
      <c r="D9" s="76"/>
      <c r="E9" s="87"/>
      <c r="F9" s="75" t="s">
        <v>90</v>
      </c>
      <c r="G9" s="76"/>
      <c r="H9" s="76"/>
      <c r="I9" s="76"/>
      <c r="J9" s="77"/>
    </row>
    <row r="10" spans="1:10" x14ac:dyDescent="0.35">
      <c r="A10" s="9" t="s">
        <v>18</v>
      </c>
      <c r="B10" s="82" t="s">
        <v>89</v>
      </c>
      <c r="C10" s="83"/>
      <c r="D10" s="83"/>
      <c r="E10" s="92"/>
      <c r="F10" s="82" t="s">
        <v>91</v>
      </c>
      <c r="G10" s="83"/>
      <c r="H10" s="83"/>
      <c r="I10" s="83"/>
      <c r="J10" s="84"/>
    </row>
    <row r="11" spans="1:10" x14ac:dyDescent="0.35">
      <c r="A11" s="4"/>
      <c r="B11" s="75" t="s">
        <v>21</v>
      </c>
      <c r="C11" s="76"/>
      <c r="D11" s="76"/>
      <c r="E11" s="76"/>
      <c r="F11" s="76"/>
      <c r="G11" s="76"/>
      <c r="H11" s="76"/>
      <c r="I11" s="76"/>
      <c r="J11" s="77"/>
    </row>
    <row r="12" spans="1:10" x14ac:dyDescent="0.35">
      <c r="A12" s="4"/>
      <c r="B12" s="14"/>
      <c r="C12" s="15"/>
      <c r="D12" s="15"/>
      <c r="F12" s="15"/>
      <c r="G12" s="15"/>
      <c r="H12" s="15"/>
      <c r="I12" s="18"/>
      <c r="J12" s="16"/>
    </row>
    <row r="13" spans="1:10" ht="15" customHeight="1" x14ac:dyDescent="0.35">
      <c r="A13" s="4"/>
      <c r="B13" s="91" t="s">
        <v>24</v>
      </c>
      <c r="C13" s="91" t="s">
        <v>19</v>
      </c>
      <c r="D13" s="91" t="s">
        <v>20</v>
      </c>
      <c r="E13" s="91" t="s">
        <v>2</v>
      </c>
      <c r="F13" s="76" t="s">
        <v>22</v>
      </c>
      <c r="G13" s="76"/>
      <c r="H13" s="76"/>
      <c r="I13" s="91" t="s">
        <v>70</v>
      </c>
      <c r="J13" s="16"/>
    </row>
    <row r="14" spans="1:10" x14ac:dyDescent="0.35">
      <c r="A14" s="17" t="s">
        <v>75</v>
      </c>
      <c r="B14" s="91"/>
      <c r="C14" s="91"/>
      <c r="D14" s="91"/>
      <c r="E14" s="91"/>
      <c r="F14" s="22" t="s">
        <v>25</v>
      </c>
      <c r="G14" s="5" t="s">
        <v>26</v>
      </c>
      <c r="H14" s="14" t="s">
        <v>23</v>
      </c>
      <c r="I14" s="91"/>
      <c r="J14" s="16" t="s">
        <v>3</v>
      </c>
    </row>
    <row r="15" spans="1:10" x14ac:dyDescent="0.35">
      <c r="A15" s="17">
        <v>213</v>
      </c>
      <c r="B15" s="10" t="s">
        <v>29</v>
      </c>
      <c r="C15" s="10">
        <v>1990</v>
      </c>
      <c r="D15" s="10">
        <v>312</v>
      </c>
      <c r="E15" s="10">
        <v>28</v>
      </c>
      <c r="F15" s="10">
        <v>31</v>
      </c>
      <c r="G15" s="10">
        <v>41</v>
      </c>
      <c r="H15" s="10">
        <v>72</v>
      </c>
      <c r="I15" s="10" t="s">
        <v>0</v>
      </c>
      <c r="J15" s="11">
        <v>33</v>
      </c>
    </row>
    <row r="16" spans="1:10" x14ac:dyDescent="0.35">
      <c r="A16" s="17">
        <v>225</v>
      </c>
      <c r="B16" s="10" t="s">
        <v>28</v>
      </c>
      <c r="C16" s="10">
        <v>1994</v>
      </c>
      <c r="D16" s="10">
        <v>264</v>
      </c>
      <c r="E16" s="10">
        <v>35</v>
      </c>
      <c r="F16" s="10">
        <v>32</v>
      </c>
      <c r="G16" s="10">
        <v>33</v>
      </c>
      <c r="H16" s="10">
        <v>65</v>
      </c>
      <c r="I16" s="10">
        <v>1970</v>
      </c>
      <c r="J16" s="11">
        <v>24</v>
      </c>
    </row>
    <row r="17" spans="1:10" x14ac:dyDescent="0.35">
      <c r="A17" s="17">
        <v>227.9</v>
      </c>
      <c r="B17" s="10" t="s">
        <v>31</v>
      </c>
      <c r="C17" s="10">
        <v>1993</v>
      </c>
      <c r="D17" s="10" t="s">
        <v>0</v>
      </c>
      <c r="E17" s="10">
        <v>34</v>
      </c>
      <c r="F17" s="10">
        <v>35</v>
      </c>
      <c r="G17" s="10">
        <v>31</v>
      </c>
      <c r="H17" s="10">
        <v>66</v>
      </c>
      <c r="I17" s="10" t="s">
        <v>0</v>
      </c>
      <c r="J17" s="11">
        <v>34</v>
      </c>
    </row>
    <row r="18" spans="1:10" x14ac:dyDescent="0.35">
      <c r="A18" s="17">
        <v>235</v>
      </c>
      <c r="B18" s="10" t="s">
        <v>31</v>
      </c>
      <c r="C18" s="10">
        <v>1993</v>
      </c>
      <c r="D18" s="10">
        <v>211</v>
      </c>
      <c r="E18" s="10">
        <v>35</v>
      </c>
      <c r="F18" s="10">
        <v>29</v>
      </c>
      <c r="G18" s="10">
        <v>36</v>
      </c>
      <c r="H18" s="10">
        <v>65</v>
      </c>
      <c r="I18" s="10">
        <v>2593</v>
      </c>
      <c r="J18" s="11">
        <v>2</v>
      </c>
    </row>
    <row r="19" spans="1:10" x14ac:dyDescent="0.35">
      <c r="A19" s="17">
        <v>255</v>
      </c>
      <c r="B19" s="10" t="s">
        <v>32</v>
      </c>
      <c r="C19" s="10">
        <v>1994</v>
      </c>
      <c r="D19" s="10">
        <v>222</v>
      </c>
      <c r="E19" s="10">
        <v>23</v>
      </c>
      <c r="F19" s="10">
        <v>38</v>
      </c>
      <c r="G19" s="10">
        <v>39</v>
      </c>
      <c r="H19" s="10">
        <v>77</v>
      </c>
      <c r="I19" s="10">
        <v>3706</v>
      </c>
      <c r="J19" s="11">
        <v>24</v>
      </c>
    </row>
    <row r="20" spans="1:10" x14ac:dyDescent="0.35">
      <c r="A20" s="17">
        <v>256</v>
      </c>
      <c r="B20" s="10" t="s">
        <v>85</v>
      </c>
      <c r="C20" s="10">
        <v>1994</v>
      </c>
      <c r="D20" s="10">
        <v>208</v>
      </c>
      <c r="E20" s="10">
        <v>27</v>
      </c>
      <c r="F20" s="10">
        <v>51</v>
      </c>
      <c r="G20" s="10">
        <v>22</v>
      </c>
      <c r="H20" s="10">
        <v>73</v>
      </c>
      <c r="I20" s="10">
        <v>3422</v>
      </c>
      <c r="J20" s="11">
        <v>24</v>
      </c>
    </row>
    <row r="21" spans="1:10" x14ac:dyDescent="0.35">
      <c r="A21" s="17">
        <v>293</v>
      </c>
      <c r="B21" s="10" t="s">
        <v>28</v>
      </c>
      <c r="C21" s="10">
        <v>1994</v>
      </c>
      <c r="D21" s="10">
        <v>282</v>
      </c>
      <c r="E21" s="10">
        <v>24</v>
      </c>
      <c r="F21" s="10">
        <v>70</v>
      </c>
      <c r="G21" s="10">
        <v>6</v>
      </c>
      <c r="H21" s="10">
        <v>76</v>
      </c>
      <c r="I21" s="10">
        <v>4606</v>
      </c>
      <c r="J21" s="11">
        <v>13</v>
      </c>
    </row>
    <row r="22" spans="1:10" x14ac:dyDescent="0.35">
      <c r="A22" s="17">
        <v>294</v>
      </c>
      <c r="B22" s="10" t="s">
        <v>35</v>
      </c>
      <c r="C22" s="10">
        <v>1994</v>
      </c>
      <c r="D22" s="10">
        <v>213</v>
      </c>
      <c r="E22" s="10">
        <v>24</v>
      </c>
      <c r="F22" s="10">
        <v>48</v>
      </c>
      <c r="G22" s="10">
        <v>18</v>
      </c>
      <c r="H22" s="10">
        <v>76</v>
      </c>
      <c r="I22" s="10">
        <v>4055</v>
      </c>
      <c r="J22" s="11">
        <v>24</v>
      </c>
    </row>
    <row r="23" spans="1:10" x14ac:dyDescent="0.35">
      <c r="A23" s="17">
        <v>350</v>
      </c>
      <c r="B23" s="10" t="s">
        <v>86</v>
      </c>
      <c r="C23" s="10">
        <v>1994</v>
      </c>
      <c r="D23" s="10">
        <v>224</v>
      </c>
      <c r="E23" s="10">
        <v>18</v>
      </c>
      <c r="F23" s="10">
        <v>45</v>
      </c>
      <c r="G23" s="10">
        <v>37</v>
      </c>
      <c r="H23" s="10">
        <v>82</v>
      </c>
      <c r="I23" s="10">
        <v>2112</v>
      </c>
      <c r="J23" s="11">
        <v>24</v>
      </c>
    </row>
    <row r="24" spans="1:10" x14ac:dyDescent="0.35">
      <c r="A24" s="17">
        <v>361</v>
      </c>
      <c r="B24" s="10" t="s">
        <v>37</v>
      </c>
      <c r="C24" s="10">
        <v>1994</v>
      </c>
      <c r="D24" s="10">
        <v>315</v>
      </c>
      <c r="E24" s="10">
        <v>17</v>
      </c>
      <c r="F24" s="10">
        <v>54</v>
      </c>
      <c r="G24" s="10">
        <v>29</v>
      </c>
      <c r="H24" s="10">
        <v>83</v>
      </c>
      <c r="I24" s="10">
        <v>2034</v>
      </c>
      <c r="J24" s="11">
        <v>24</v>
      </c>
    </row>
    <row r="25" spans="1:10" x14ac:dyDescent="0.35">
      <c r="A25" s="17">
        <v>375</v>
      </c>
      <c r="B25" s="10" t="s">
        <v>87</v>
      </c>
      <c r="C25" s="10">
        <v>1994</v>
      </c>
      <c r="D25" s="10">
        <v>214</v>
      </c>
      <c r="E25" s="10">
        <v>29</v>
      </c>
      <c r="F25" s="10">
        <v>48</v>
      </c>
      <c r="G25" s="10">
        <v>23</v>
      </c>
      <c r="H25" s="10">
        <v>71</v>
      </c>
      <c r="I25" s="10">
        <v>2053</v>
      </c>
      <c r="J25" s="11">
        <v>24</v>
      </c>
    </row>
    <row r="26" spans="1:10" x14ac:dyDescent="0.35">
      <c r="A26" s="17">
        <v>413</v>
      </c>
      <c r="B26" s="10" t="s">
        <v>33</v>
      </c>
      <c r="C26" s="10">
        <v>1994</v>
      </c>
      <c r="D26" s="10">
        <v>228</v>
      </c>
      <c r="E26" s="10">
        <v>28</v>
      </c>
      <c r="F26" s="10">
        <v>51</v>
      </c>
      <c r="G26" s="10">
        <v>21</v>
      </c>
      <c r="H26" s="10">
        <v>72</v>
      </c>
      <c r="I26" s="10">
        <v>589</v>
      </c>
      <c r="J26" s="11">
        <v>24</v>
      </c>
    </row>
    <row r="27" spans="1:10" x14ac:dyDescent="0.35">
      <c r="A27" s="17">
        <v>418</v>
      </c>
      <c r="B27" s="10" t="s">
        <v>66</v>
      </c>
      <c r="C27" s="10">
        <v>1994</v>
      </c>
      <c r="D27" s="10">
        <v>281</v>
      </c>
      <c r="E27" s="10">
        <v>20</v>
      </c>
      <c r="F27" s="10">
        <v>50</v>
      </c>
      <c r="G27" s="10">
        <v>30</v>
      </c>
      <c r="H27" s="10">
        <v>80</v>
      </c>
      <c r="I27" s="10">
        <v>5610</v>
      </c>
      <c r="J27" s="11">
        <v>24</v>
      </c>
    </row>
    <row r="28" spans="1:10" x14ac:dyDescent="0.35">
      <c r="A28" s="17">
        <v>450</v>
      </c>
      <c r="B28" s="10" t="s">
        <v>36</v>
      </c>
      <c r="C28" s="10">
        <v>1994</v>
      </c>
      <c r="D28" s="10">
        <v>321</v>
      </c>
      <c r="E28" s="10">
        <v>23</v>
      </c>
      <c r="F28" s="10">
        <v>49</v>
      </c>
      <c r="G28" s="10">
        <v>28</v>
      </c>
      <c r="H28" s="10">
        <v>77</v>
      </c>
      <c r="I28" s="10">
        <v>2787</v>
      </c>
      <c r="J28" s="11">
        <v>24</v>
      </c>
    </row>
    <row r="29" spans="1:10" x14ac:dyDescent="0.35">
      <c r="A29" s="17">
        <v>476</v>
      </c>
      <c r="B29" s="10" t="s">
        <v>71</v>
      </c>
      <c r="C29" s="10">
        <v>1994</v>
      </c>
      <c r="D29" s="10">
        <v>234</v>
      </c>
      <c r="E29" s="10">
        <v>25</v>
      </c>
      <c r="F29" s="10">
        <v>53</v>
      </c>
      <c r="G29" s="10">
        <v>22</v>
      </c>
      <c r="H29" s="10">
        <v>75</v>
      </c>
      <c r="I29" s="10">
        <v>3427</v>
      </c>
      <c r="J29" s="11">
        <v>24</v>
      </c>
    </row>
    <row r="30" spans="1:10" x14ac:dyDescent="0.35">
      <c r="A30" s="17">
        <v>488</v>
      </c>
      <c r="B30" s="10" t="s">
        <v>33</v>
      </c>
      <c r="C30" s="10">
        <v>1994</v>
      </c>
      <c r="D30" s="10">
        <v>257</v>
      </c>
      <c r="E30" s="10">
        <v>12</v>
      </c>
      <c r="F30" s="10">
        <v>75</v>
      </c>
      <c r="G30" s="10">
        <v>13</v>
      </c>
      <c r="H30" s="10">
        <v>88</v>
      </c>
      <c r="I30" s="10">
        <v>1094</v>
      </c>
      <c r="J30" s="11">
        <v>13</v>
      </c>
    </row>
    <row r="31" spans="1:10" x14ac:dyDescent="0.35">
      <c r="A31" s="17">
        <v>560</v>
      </c>
      <c r="B31" s="10" t="s">
        <v>37</v>
      </c>
      <c r="C31" s="10">
        <v>1994</v>
      </c>
      <c r="D31" s="10">
        <v>437</v>
      </c>
      <c r="E31" s="10">
        <v>19</v>
      </c>
      <c r="F31" s="10">
        <v>49</v>
      </c>
      <c r="G31" s="10">
        <v>32</v>
      </c>
      <c r="H31" s="10">
        <v>81</v>
      </c>
      <c r="I31" s="10">
        <v>3051</v>
      </c>
      <c r="J31" s="11">
        <v>24</v>
      </c>
    </row>
    <row r="32" spans="1:10" x14ac:dyDescent="0.35">
      <c r="A32" s="17">
        <v>581</v>
      </c>
      <c r="B32" s="10" t="s">
        <v>30</v>
      </c>
      <c r="C32" s="10">
        <v>1994</v>
      </c>
      <c r="D32" s="10">
        <v>296</v>
      </c>
      <c r="E32" s="10">
        <v>18</v>
      </c>
      <c r="F32" s="10">
        <v>53</v>
      </c>
      <c r="G32" s="10">
        <v>29</v>
      </c>
      <c r="H32" s="10">
        <v>82</v>
      </c>
      <c r="I32" s="10">
        <v>2939</v>
      </c>
      <c r="J32" s="11">
        <v>24</v>
      </c>
    </row>
    <row r="33" spans="1:10" x14ac:dyDescent="0.35">
      <c r="A33" s="17">
        <v>598</v>
      </c>
      <c r="B33" s="10" t="s">
        <v>30</v>
      </c>
      <c r="C33" s="10">
        <v>1994</v>
      </c>
      <c r="D33" s="10">
        <v>205</v>
      </c>
      <c r="E33" s="10">
        <v>17</v>
      </c>
      <c r="F33" s="10">
        <v>55</v>
      </c>
      <c r="G33" s="10">
        <v>28</v>
      </c>
      <c r="H33" s="10">
        <v>83</v>
      </c>
      <c r="I33" s="10">
        <v>3840</v>
      </c>
      <c r="J33" s="11">
        <v>24</v>
      </c>
    </row>
    <row r="34" spans="1:10" x14ac:dyDescent="0.35">
      <c r="A34" s="17">
        <v>633</v>
      </c>
      <c r="B34" s="10" t="s">
        <v>33</v>
      </c>
      <c r="C34" s="10">
        <v>1994</v>
      </c>
      <c r="D34" s="10">
        <v>257</v>
      </c>
      <c r="E34" s="10">
        <v>10</v>
      </c>
      <c r="F34" s="10">
        <v>64</v>
      </c>
      <c r="G34" s="10">
        <v>26</v>
      </c>
      <c r="H34" s="10">
        <v>90</v>
      </c>
      <c r="I34" s="10" t="s">
        <v>0</v>
      </c>
      <c r="J34" s="11">
        <v>24</v>
      </c>
    </row>
    <row r="35" spans="1:10" x14ac:dyDescent="0.35">
      <c r="A35" s="17">
        <v>667</v>
      </c>
      <c r="B35" s="10" t="s">
        <v>28</v>
      </c>
      <c r="C35" s="10">
        <v>1994</v>
      </c>
      <c r="D35" s="10">
        <v>200</v>
      </c>
      <c r="E35" s="10">
        <v>16</v>
      </c>
      <c r="F35" s="10">
        <v>53</v>
      </c>
      <c r="G35" s="10">
        <v>31</v>
      </c>
      <c r="H35" s="10">
        <v>84</v>
      </c>
      <c r="I35" s="10">
        <v>2770</v>
      </c>
      <c r="J35" s="11">
        <v>24</v>
      </c>
    </row>
    <row r="36" spans="1:10" x14ac:dyDescent="0.35">
      <c r="A36" s="17">
        <v>738</v>
      </c>
      <c r="B36" s="10" t="s">
        <v>63</v>
      </c>
      <c r="C36" s="10">
        <v>1994</v>
      </c>
      <c r="D36" s="10">
        <v>283</v>
      </c>
      <c r="E36" s="10">
        <v>13</v>
      </c>
      <c r="F36" s="10">
        <v>75</v>
      </c>
      <c r="G36" s="10">
        <v>12</v>
      </c>
      <c r="H36" s="10">
        <v>87</v>
      </c>
      <c r="I36" s="10">
        <v>8059</v>
      </c>
      <c r="J36" s="11">
        <v>24</v>
      </c>
    </row>
    <row r="37" spans="1:10" x14ac:dyDescent="0.35">
      <c r="A37" s="17">
        <v>800</v>
      </c>
      <c r="B37" s="10" t="s">
        <v>36</v>
      </c>
      <c r="C37" s="10">
        <v>1994</v>
      </c>
      <c r="D37" s="10">
        <v>205</v>
      </c>
      <c r="E37" s="10">
        <v>21</v>
      </c>
      <c r="F37" s="10">
        <v>51</v>
      </c>
      <c r="G37" s="10">
        <v>28</v>
      </c>
      <c r="H37" s="10">
        <v>79</v>
      </c>
      <c r="I37" s="10">
        <v>7474</v>
      </c>
      <c r="J37" s="11">
        <v>24</v>
      </c>
    </row>
    <row r="38" spans="1:10" x14ac:dyDescent="0.35">
      <c r="A38" s="17">
        <v>808</v>
      </c>
      <c r="B38" s="10" t="s">
        <v>36</v>
      </c>
      <c r="C38" s="10">
        <v>1994</v>
      </c>
      <c r="D38" s="10">
        <v>240</v>
      </c>
      <c r="E38" s="10">
        <v>13</v>
      </c>
      <c r="F38" s="10">
        <v>73</v>
      </c>
      <c r="G38" s="10">
        <v>14</v>
      </c>
      <c r="H38" s="10">
        <v>87</v>
      </c>
      <c r="I38" s="10">
        <v>4035</v>
      </c>
      <c r="J38" s="11">
        <v>24</v>
      </c>
    </row>
    <row r="39" spans="1:10" ht="15" thickBot="1" x14ac:dyDescent="0.4">
      <c r="A39" s="7"/>
      <c r="B39" s="12"/>
      <c r="C39" s="8"/>
      <c r="D39" s="8"/>
      <c r="E39" s="12"/>
      <c r="F39" s="8"/>
      <c r="G39" s="8"/>
      <c r="H39" s="8"/>
      <c r="I39" s="12"/>
      <c r="J39" s="13"/>
    </row>
  </sheetData>
  <mergeCells count="18">
    <mergeCell ref="B7:J7"/>
    <mergeCell ref="A1:J2"/>
    <mergeCell ref="A3:J3"/>
    <mergeCell ref="A4:J4"/>
    <mergeCell ref="B5:J5"/>
    <mergeCell ref="B6:J6"/>
    <mergeCell ref="B8:J8"/>
    <mergeCell ref="B11:J11"/>
    <mergeCell ref="B13:B14"/>
    <mergeCell ref="C13:C14"/>
    <mergeCell ref="D13:D14"/>
    <mergeCell ref="E13:E14"/>
    <mergeCell ref="F13:H13"/>
    <mergeCell ref="I13:I14"/>
    <mergeCell ref="B9:E9"/>
    <mergeCell ref="B10:E10"/>
    <mergeCell ref="F9:J9"/>
    <mergeCell ref="F10:J10"/>
  </mergeCells>
  <pageMargins left="0.7" right="0.7" top="0.75" bottom="0.75" header="0.3" footer="0.3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E4CAE-4F3A-4871-A2E4-E66A0F0E3582}">
  <sheetPr>
    <tabColor rgb="FFFFFF00"/>
  </sheetPr>
  <dimension ref="A1:J30"/>
  <sheetViews>
    <sheetView topLeftCell="A7" zoomScale="130" zoomScaleNormal="130" workbookViewId="0">
      <selection activeCell="A4" sqref="A4:K4"/>
    </sheetView>
  </sheetViews>
  <sheetFormatPr defaultColWidth="9.1796875" defaultRowHeight="14.5" x14ac:dyDescent="0.35"/>
  <cols>
    <col min="1" max="1" width="20.1796875" bestFit="1" customWidth="1"/>
    <col min="2" max="2" width="14.26953125" style="1" bestFit="1" customWidth="1"/>
    <col min="3" max="3" width="8.1796875" style="1" customWidth="1"/>
    <col min="4" max="4" width="10.54296875" style="1" customWidth="1"/>
    <col min="5" max="5" width="9.54296875" style="1" customWidth="1"/>
    <col min="6" max="6" width="12.1796875" style="1" customWidth="1"/>
    <col min="7" max="7" width="12.54296875" style="1" customWidth="1"/>
    <col min="8" max="8" width="8.81640625" style="1" bestFit="1" customWidth="1"/>
    <col min="9" max="9" width="14.1796875" style="1" customWidth="1"/>
    <col min="10" max="10" width="7" style="1" bestFit="1" customWidth="1"/>
  </cols>
  <sheetData>
    <row r="1" spans="1:10" x14ac:dyDescent="0.35">
      <c r="A1" s="66" t="s">
        <v>16</v>
      </c>
      <c r="B1" s="67"/>
      <c r="C1" s="67"/>
      <c r="D1" s="67"/>
      <c r="E1" s="67"/>
      <c r="F1" s="67"/>
      <c r="G1" s="67"/>
      <c r="H1" s="67"/>
      <c r="I1" s="67"/>
      <c r="J1" s="68"/>
    </row>
    <row r="2" spans="1:10" x14ac:dyDescent="0.35">
      <c r="A2" s="69"/>
      <c r="B2" s="70"/>
      <c r="C2" s="70"/>
      <c r="D2" s="70"/>
      <c r="E2" s="70"/>
      <c r="F2" s="70"/>
      <c r="G2" s="70"/>
      <c r="H2" s="70"/>
      <c r="I2" s="70"/>
      <c r="J2" s="71"/>
    </row>
    <row r="3" spans="1:10" x14ac:dyDescent="0.35">
      <c r="A3" s="72" t="s">
        <v>136</v>
      </c>
      <c r="B3" s="73"/>
      <c r="C3" s="73"/>
      <c r="D3" s="73"/>
      <c r="E3" s="73"/>
      <c r="F3" s="73"/>
      <c r="G3" s="73"/>
      <c r="H3" s="73"/>
      <c r="I3" s="73"/>
      <c r="J3" s="74"/>
    </row>
    <row r="4" spans="1:10" x14ac:dyDescent="0.35">
      <c r="A4" s="81"/>
      <c r="B4" s="76"/>
      <c r="C4" s="76"/>
      <c r="D4" s="76"/>
      <c r="E4" s="76"/>
      <c r="F4" s="76"/>
      <c r="G4" s="76"/>
      <c r="H4" s="76"/>
      <c r="I4" s="76"/>
      <c r="J4" s="77"/>
    </row>
    <row r="5" spans="1:10" x14ac:dyDescent="0.35">
      <c r="A5" s="2" t="s">
        <v>11</v>
      </c>
      <c r="B5" s="73">
        <v>821</v>
      </c>
      <c r="C5" s="73"/>
      <c r="D5" s="73"/>
      <c r="E5" s="73"/>
      <c r="F5" s="73"/>
      <c r="G5" s="73"/>
      <c r="H5" s="73"/>
      <c r="I5" s="73"/>
      <c r="J5" s="74"/>
    </row>
    <row r="6" spans="1:10" x14ac:dyDescent="0.35">
      <c r="A6" s="3" t="s">
        <v>12</v>
      </c>
      <c r="B6" s="73" t="s">
        <v>68</v>
      </c>
      <c r="C6" s="73"/>
      <c r="D6" s="73"/>
      <c r="E6" s="73"/>
      <c r="F6" s="73"/>
      <c r="G6" s="73"/>
      <c r="H6" s="73"/>
      <c r="I6" s="73"/>
      <c r="J6" s="74"/>
    </row>
    <row r="7" spans="1:10" x14ac:dyDescent="0.35">
      <c r="A7" s="3" t="s">
        <v>13</v>
      </c>
      <c r="B7" s="73" t="s">
        <v>14</v>
      </c>
      <c r="C7" s="73"/>
      <c r="D7" s="73"/>
      <c r="E7" s="73"/>
      <c r="F7" s="73"/>
      <c r="G7" s="73"/>
      <c r="H7" s="73"/>
      <c r="I7" s="73"/>
      <c r="J7" s="74"/>
    </row>
    <row r="8" spans="1:10" x14ac:dyDescent="0.35">
      <c r="A8" s="3" t="s">
        <v>1</v>
      </c>
      <c r="B8" s="73" t="s">
        <v>17</v>
      </c>
      <c r="C8" s="73"/>
      <c r="D8" s="73"/>
      <c r="E8" s="73"/>
      <c r="F8" s="73"/>
      <c r="G8" s="73"/>
      <c r="H8" s="73"/>
      <c r="I8" s="73"/>
      <c r="J8" s="74"/>
    </row>
    <row r="9" spans="1:10" x14ac:dyDescent="0.35">
      <c r="A9" s="3" t="s">
        <v>15</v>
      </c>
      <c r="B9" s="73">
        <v>15</v>
      </c>
      <c r="C9" s="73"/>
      <c r="D9" s="73"/>
      <c r="E9" s="73"/>
      <c r="F9" s="73"/>
      <c r="G9" s="73"/>
      <c r="H9" s="73"/>
      <c r="I9" s="73"/>
      <c r="J9" s="74"/>
    </row>
    <row r="10" spans="1:10" x14ac:dyDescent="0.35">
      <c r="A10" s="9" t="s">
        <v>18</v>
      </c>
      <c r="B10" s="88">
        <v>0.4</v>
      </c>
      <c r="C10" s="88"/>
      <c r="D10" s="88"/>
      <c r="E10" s="88"/>
      <c r="F10" s="88"/>
      <c r="G10" s="88"/>
      <c r="H10" s="88"/>
      <c r="I10" s="89"/>
      <c r="J10" s="90"/>
    </row>
    <row r="11" spans="1:10" x14ac:dyDescent="0.35">
      <c r="A11" s="4"/>
      <c r="B11" s="75" t="s">
        <v>21</v>
      </c>
      <c r="C11" s="76"/>
      <c r="D11" s="76"/>
      <c r="E11" s="76"/>
      <c r="F11" s="76"/>
      <c r="G11" s="76"/>
      <c r="H11" s="76"/>
      <c r="I11" s="76"/>
      <c r="J11" s="77"/>
    </row>
    <row r="12" spans="1:10" x14ac:dyDescent="0.35">
      <c r="A12" s="4"/>
      <c r="B12" s="14"/>
      <c r="C12" s="15"/>
      <c r="D12" s="15"/>
      <c r="F12" s="15"/>
      <c r="G12" s="15"/>
      <c r="H12" s="15"/>
      <c r="I12" s="18"/>
      <c r="J12" s="16"/>
    </row>
    <row r="13" spans="1:10" x14ac:dyDescent="0.35">
      <c r="A13" s="4"/>
      <c r="B13" s="91" t="s">
        <v>24</v>
      </c>
      <c r="C13" s="91" t="s">
        <v>19</v>
      </c>
      <c r="D13" s="91" t="s">
        <v>20</v>
      </c>
      <c r="E13" s="91" t="s">
        <v>2</v>
      </c>
      <c r="F13" s="76" t="s">
        <v>22</v>
      </c>
      <c r="G13" s="76"/>
      <c r="H13" s="76"/>
      <c r="I13" s="91" t="s">
        <v>70</v>
      </c>
      <c r="J13" s="16"/>
    </row>
    <row r="14" spans="1:10" x14ac:dyDescent="0.35">
      <c r="A14" s="17" t="s">
        <v>75</v>
      </c>
      <c r="B14" s="91"/>
      <c r="C14" s="91"/>
      <c r="D14" s="91"/>
      <c r="E14" s="91"/>
      <c r="F14" s="22" t="s">
        <v>25</v>
      </c>
      <c r="G14" s="5" t="s">
        <v>26</v>
      </c>
      <c r="H14" s="14" t="s">
        <v>23</v>
      </c>
      <c r="I14" s="91"/>
      <c r="J14" s="16" t="s">
        <v>3</v>
      </c>
    </row>
    <row r="15" spans="1:10" x14ac:dyDescent="0.35">
      <c r="A15" s="17">
        <v>45</v>
      </c>
      <c r="B15" s="10" t="s">
        <v>29</v>
      </c>
      <c r="C15" s="10">
        <v>1992</v>
      </c>
      <c r="D15" s="10">
        <v>844</v>
      </c>
      <c r="E15" s="10">
        <v>56</v>
      </c>
      <c r="F15" s="10">
        <v>24</v>
      </c>
      <c r="G15" s="10">
        <v>20</v>
      </c>
      <c r="H15" s="10">
        <v>44</v>
      </c>
      <c r="I15" s="10" t="s">
        <v>0</v>
      </c>
      <c r="J15" s="11">
        <v>30</v>
      </c>
    </row>
    <row r="16" spans="1:10" x14ac:dyDescent="0.35">
      <c r="A16" s="17">
        <v>50</v>
      </c>
      <c r="B16" s="10" t="s">
        <v>29</v>
      </c>
      <c r="C16" s="10">
        <v>1992</v>
      </c>
      <c r="D16" s="10">
        <v>555</v>
      </c>
      <c r="E16" s="10">
        <v>41</v>
      </c>
      <c r="F16" s="10">
        <v>41</v>
      </c>
      <c r="G16" s="10">
        <v>18</v>
      </c>
      <c r="H16" s="10">
        <v>59</v>
      </c>
      <c r="I16" s="10" t="s">
        <v>0</v>
      </c>
      <c r="J16" s="11">
        <v>30</v>
      </c>
    </row>
    <row r="17" spans="1:10" x14ac:dyDescent="0.35">
      <c r="A17" s="17">
        <v>52</v>
      </c>
      <c r="B17" s="10" t="s">
        <v>29</v>
      </c>
      <c r="C17" s="10">
        <v>1995</v>
      </c>
      <c r="D17" s="10">
        <v>665</v>
      </c>
      <c r="E17" s="10">
        <v>42</v>
      </c>
      <c r="F17" s="10">
        <v>33</v>
      </c>
      <c r="G17" s="10">
        <v>25</v>
      </c>
      <c r="H17" s="10">
        <v>58</v>
      </c>
      <c r="I17" s="10" t="s">
        <v>0</v>
      </c>
      <c r="J17" s="11">
        <v>30</v>
      </c>
    </row>
    <row r="18" spans="1:10" x14ac:dyDescent="0.35">
      <c r="A18" s="17">
        <v>53</v>
      </c>
      <c r="B18" s="10" t="s">
        <v>29</v>
      </c>
      <c r="C18" s="10">
        <v>1993</v>
      </c>
      <c r="D18" s="10">
        <v>162</v>
      </c>
      <c r="E18" s="10">
        <v>59</v>
      </c>
      <c r="F18" s="10" t="s">
        <v>0</v>
      </c>
      <c r="G18" s="10" t="s">
        <v>0</v>
      </c>
      <c r="H18" s="10">
        <v>41</v>
      </c>
      <c r="I18" s="10" t="s">
        <v>0</v>
      </c>
      <c r="J18" s="11">
        <v>30</v>
      </c>
    </row>
    <row r="19" spans="1:10" x14ac:dyDescent="0.35">
      <c r="A19" s="17">
        <v>57.23</v>
      </c>
      <c r="B19" s="10" t="s">
        <v>31</v>
      </c>
      <c r="C19" s="10">
        <v>1993</v>
      </c>
      <c r="D19" s="10">
        <v>247</v>
      </c>
      <c r="E19" s="10">
        <v>31</v>
      </c>
      <c r="F19" s="10">
        <v>53</v>
      </c>
      <c r="G19" s="10">
        <v>16</v>
      </c>
      <c r="H19" s="10">
        <v>69</v>
      </c>
      <c r="I19" s="10">
        <v>2659</v>
      </c>
      <c r="J19" s="11">
        <v>34</v>
      </c>
    </row>
    <row r="20" spans="1:10" x14ac:dyDescent="0.35">
      <c r="A20" s="17">
        <v>60</v>
      </c>
      <c r="B20" s="10" t="s">
        <v>29</v>
      </c>
      <c r="C20" s="10">
        <v>1995</v>
      </c>
      <c r="D20" s="10">
        <v>1583</v>
      </c>
      <c r="E20" s="10">
        <v>40</v>
      </c>
      <c r="F20" s="10">
        <v>38</v>
      </c>
      <c r="G20" s="10">
        <v>22</v>
      </c>
      <c r="H20" s="10">
        <v>60</v>
      </c>
      <c r="I20" s="10" t="s">
        <v>0</v>
      </c>
      <c r="J20" s="11">
        <v>30</v>
      </c>
    </row>
    <row r="21" spans="1:10" x14ac:dyDescent="0.35">
      <c r="A21" s="17">
        <v>69.400000000000006</v>
      </c>
      <c r="B21" s="10" t="s">
        <v>31</v>
      </c>
      <c r="C21" s="10">
        <v>1993</v>
      </c>
      <c r="D21" s="10">
        <v>109</v>
      </c>
      <c r="E21" s="10">
        <v>25</v>
      </c>
      <c r="F21" s="10">
        <v>42</v>
      </c>
      <c r="G21" s="10">
        <v>33</v>
      </c>
      <c r="H21" s="10">
        <v>75</v>
      </c>
      <c r="I21" s="10">
        <v>1559</v>
      </c>
      <c r="J21" s="11">
        <v>34</v>
      </c>
    </row>
    <row r="22" spans="1:10" x14ac:dyDescent="0.35">
      <c r="A22" s="17">
        <v>77</v>
      </c>
      <c r="B22" s="10" t="s">
        <v>29</v>
      </c>
      <c r="C22" s="10">
        <v>1992</v>
      </c>
      <c r="D22" s="10">
        <v>365</v>
      </c>
      <c r="E22" s="10">
        <v>46</v>
      </c>
      <c r="F22" s="10" t="s">
        <v>0</v>
      </c>
      <c r="G22" s="10" t="s">
        <v>0</v>
      </c>
      <c r="H22" s="10">
        <v>54</v>
      </c>
      <c r="I22" s="10" t="s">
        <v>0</v>
      </c>
      <c r="J22" s="11">
        <v>30</v>
      </c>
    </row>
    <row r="23" spans="1:10" x14ac:dyDescent="0.35">
      <c r="A23" s="17">
        <v>78</v>
      </c>
      <c r="B23" s="10" t="s">
        <v>29</v>
      </c>
      <c r="C23" s="10">
        <v>1991</v>
      </c>
      <c r="D23" s="10">
        <v>702</v>
      </c>
      <c r="E23" s="10">
        <v>55</v>
      </c>
      <c r="F23" s="10">
        <v>23</v>
      </c>
      <c r="G23" s="10">
        <v>22</v>
      </c>
      <c r="H23" s="10">
        <v>45</v>
      </c>
      <c r="I23" s="10" t="s">
        <v>0</v>
      </c>
      <c r="J23" s="11">
        <v>30</v>
      </c>
    </row>
    <row r="24" spans="1:10" x14ac:dyDescent="0.35">
      <c r="A24" s="17">
        <v>82</v>
      </c>
      <c r="B24" s="10" t="s">
        <v>29</v>
      </c>
      <c r="C24" s="10">
        <v>1992</v>
      </c>
      <c r="D24" s="10">
        <v>336</v>
      </c>
      <c r="E24" s="10">
        <v>34</v>
      </c>
      <c r="F24" s="10" t="s">
        <v>0</v>
      </c>
      <c r="G24" s="10" t="s">
        <v>0</v>
      </c>
      <c r="H24" s="10">
        <v>66</v>
      </c>
      <c r="I24" s="10" t="s">
        <v>0</v>
      </c>
      <c r="J24" s="11">
        <v>30</v>
      </c>
    </row>
    <row r="25" spans="1:10" x14ac:dyDescent="0.35">
      <c r="A25" s="17">
        <v>92.856999999999999</v>
      </c>
      <c r="B25" s="10" t="s">
        <v>31</v>
      </c>
      <c r="C25" s="10">
        <v>1993</v>
      </c>
      <c r="D25" s="10">
        <v>133</v>
      </c>
      <c r="E25" s="10">
        <v>22</v>
      </c>
      <c r="F25" s="10">
        <v>50</v>
      </c>
      <c r="G25" s="10">
        <v>28</v>
      </c>
      <c r="H25" s="10">
        <v>78</v>
      </c>
      <c r="I25" s="10">
        <v>3555</v>
      </c>
      <c r="J25" s="11">
        <v>34</v>
      </c>
    </row>
    <row r="26" spans="1:10" x14ac:dyDescent="0.35">
      <c r="A26" s="17">
        <v>100.88800000000001</v>
      </c>
      <c r="B26" s="10" t="s">
        <v>31</v>
      </c>
      <c r="C26" s="10">
        <v>1993</v>
      </c>
      <c r="D26" s="10">
        <v>281</v>
      </c>
      <c r="E26" s="10">
        <v>28</v>
      </c>
      <c r="F26" s="10">
        <v>50</v>
      </c>
      <c r="G26" s="10">
        <v>22</v>
      </c>
      <c r="H26" s="10">
        <v>72</v>
      </c>
      <c r="I26" s="10">
        <v>2111</v>
      </c>
      <c r="J26" s="11">
        <v>34</v>
      </c>
    </row>
    <row r="27" spans="1:10" x14ac:dyDescent="0.35">
      <c r="A27" s="17">
        <v>121.54</v>
      </c>
      <c r="B27" s="10" t="s">
        <v>31</v>
      </c>
      <c r="C27" s="10">
        <v>1993</v>
      </c>
      <c r="D27" s="10">
        <v>210</v>
      </c>
      <c r="E27" s="10">
        <v>53</v>
      </c>
      <c r="F27" s="10">
        <v>30</v>
      </c>
      <c r="G27" s="10">
        <v>17</v>
      </c>
      <c r="H27" s="10">
        <v>47</v>
      </c>
      <c r="I27" s="10">
        <v>2636</v>
      </c>
      <c r="J27" s="11">
        <v>34</v>
      </c>
    </row>
    <row r="28" spans="1:10" x14ac:dyDescent="0.35">
      <c r="A28" s="17">
        <v>144</v>
      </c>
      <c r="B28" s="10" t="s">
        <v>63</v>
      </c>
      <c r="C28" s="10">
        <v>1990</v>
      </c>
      <c r="D28" s="10">
        <v>176</v>
      </c>
      <c r="E28" s="10">
        <v>32</v>
      </c>
      <c r="F28" s="10">
        <v>44</v>
      </c>
      <c r="G28" s="10">
        <v>24</v>
      </c>
      <c r="H28" s="10">
        <v>68</v>
      </c>
      <c r="I28" s="10" t="s">
        <v>0</v>
      </c>
      <c r="J28" s="11">
        <v>24</v>
      </c>
    </row>
    <row r="29" spans="1:10" x14ac:dyDescent="0.35">
      <c r="A29" s="17">
        <v>146.80000000000001</v>
      </c>
      <c r="B29" s="10" t="s">
        <v>31</v>
      </c>
      <c r="C29" s="10">
        <v>1993</v>
      </c>
      <c r="D29" s="10" t="s">
        <v>0</v>
      </c>
      <c r="E29" s="10">
        <v>36</v>
      </c>
      <c r="F29" s="10">
        <v>39</v>
      </c>
      <c r="G29" s="10">
        <v>25</v>
      </c>
      <c r="H29" s="10">
        <v>64</v>
      </c>
      <c r="I29" s="10" t="s">
        <v>0</v>
      </c>
      <c r="J29" s="11">
        <v>34</v>
      </c>
    </row>
    <row r="30" spans="1:10" ht="15" thickBot="1" x14ac:dyDescent="0.4">
      <c r="A30" s="26"/>
      <c r="B30" s="12"/>
      <c r="C30" s="8"/>
      <c r="D30" s="12"/>
      <c r="E30" s="12"/>
      <c r="F30" s="12"/>
      <c r="G30" s="12"/>
      <c r="H30" s="12"/>
      <c r="I30" s="12"/>
      <c r="J30" s="13"/>
    </row>
  </sheetData>
  <mergeCells count="16">
    <mergeCell ref="B7:J7"/>
    <mergeCell ref="A1:J2"/>
    <mergeCell ref="A3:J3"/>
    <mergeCell ref="A4:J4"/>
    <mergeCell ref="B5:J5"/>
    <mergeCell ref="B6:J6"/>
    <mergeCell ref="B8:J8"/>
    <mergeCell ref="B9:J9"/>
    <mergeCell ref="B10:J10"/>
    <mergeCell ref="B11:J11"/>
    <mergeCell ref="B13:B14"/>
    <mergeCell ref="C13:C14"/>
    <mergeCell ref="D13:D14"/>
    <mergeCell ref="E13:E14"/>
    <mergeCell ref="F13:H13"/>
    <mergeCell ref="I13:I14"/>
  </mergeCells>
  <pageMargins left="0.7" right="0.7" top="0.75" bottom="0.75" header="0.3" footer="0.3"/>
  <pageSetup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C503B-ADAB-4213-8A3F-6EC89FCF8F45}">
  <sheetPr>
    <tabColor rgb="FFFFFF00"/>
  </sheetPr>
  <dimension ref="A1:J16"/>
  <sheetViews>
    <sheetView zoomScale="130" zoomScaleNormal="130" workbookViewId="0">
      <selection activeCell="B9" sqref="B9:J9"/>
    </sheetView>
  </sheetViews>
  <sheetFormatPr defaultColWidth="9.1796875" defaultRowHeight="14.5" x14ac:dyDescent="0.35"/>
  <cols>
    <col min="1" max="1" width="20.1796875" bestFit="1" customWidth="1"/>
    <col min="2" max="2" width="14.26953125" style="1" bestFit="1" customWidth="1"/>
    <col min="3" max="3" width="8.1796875" style="1" customWidth="1"/>
    <col min="4" max="4" width="10.54296875" style="1" customWidth="1"/>
    <col min="5" max="5" width="9.54296875" style="1" customWidth="1"/>
    <col min="6" max="6" width="12.1796875" style="1" customWidth="1"/>
    <col min="7" max="7" width="12.54296875" style="1" customWidth="1"/>
    <col min="8" max="8" width="8.81640625" style="1" bestFit="1" customWidth="1"/>
    <col min="9" max="9" width="14.1796875" style="1" customWidth="1"/>
    <col min="10" max="10" width="7" style="1" bestFit="1" customWidth="1"/>
  </cols>
  <sheetData>
    <row r="1" spans="1:10" x14ac:dyDescent="0.35">
      <c r="A1" s="66" t="s">
        <v>16</v>
      </c>
      <c r="B1" s="67"/>
      <c r="C1" s="67"/>
      <c r="D1" s="67"/>
      <c r="E1" s="67"/>
      <c r="F1" s="67"/>
      <c r="G1" s="67"/>
      <c r="H1" s="67"/>
      <c r="I1" s="67"/>
      <c r="J1" s="68"/>
    </row>
    <row r="2" spans="1:10" x14ac:dyDescent="0.35">
      <c r="A2" s="69"/>
      <c r="B2" s="70"/>
      <c r="C2" s="70"/>
      <c r="D2" s="70"/>
      <c r="E2" s="70"/>
      <c r="F2" s="70"/>
      <c r="G2" s="70"/>
      <c r="H2" s="70"/>
      <c r="I2" s="70"/>
      <c r="J2" s="71"/>
    </row>
    <row r="3" spans="1:10" x14ac:dyDescent="0.35">
      <c r="A3" s="72" t="s">
        <v>136</v>
      </c>
      <c r="B3" s="73"/>
      <c r="C3" s="73"/>
      <c r="D3" s="73"/>
      <c r="E3" s="73"/>
      <c r="F3" s="73"/>
      <c r="G3" s="73"/>
      <c r="H3" s="73"/>
      <c r="I3" s="73"/>
      <c r="J3" s="74"/>
    </row>
    <row r="4" spans="1:10" x14ac:dyDescent="0.35">
      <c r="A4" s="81"/>
      <c r="B4" s="76"/>
      <c r="C4" s="76"/>
      <c r="D4" s="76"/>
      <c r="E4" s="76"/>
      <c r="F4" s="76"/>
      <c r="G4" s="76"/>
      <c r="H4" s="76"/>
      <c r="I4" s="76"/>
      <c r="J4" s="77"/>
    </row>
    <row r="5" spans="1:10" x14ac:dyDescent="0.35">
      <c r="A5" s="2" t="s">
        <v>11</v>
      </c>
      <c r="B5" s="73">
        <v>821</v>
      </c>
      <c r="C5" s="73"/>
      <c r="D5" s="73"/>
      <c r="E5" s="73"/>
      <c r="F5" s="73"/>
      <c r="G5" s="73"/>
      <c r="H5" s="73"/>
      <c r="I5" s="73"/>
      <c r="J5" s="74"/>
    </row>
    <row r="6" spans="1:10" x14ac:dyDescent="0.35">
      <c r="A6" s="3" t="s">
        <v>12</v>
      </c>
      <c r="B6" s="73" t="s">
        <v>68</v>
      </c>
      <c r="C6" s="73"/>
      <c r="D6" s="73"/>
      <c r="E6" s="73"/>
      <c r="F6" s="73"/>
      <c r="G6" s="73"/>
      <c r="H6" s="73"/>
      <c r="I6" s="73"/>
      <c r="J6" s="74"/>
    </row>
    <row r="7" spans="1:10" x14ac:dyDescent="0.35">
      <c r="A7" s="3" t="s">
        <v>13</v>
      </c>
      <c r="B7" s="73" t="s">
        <v>14</v>
      </c>
      <c r="C7" s="73"/>
      <c r="D7" s="73"/>
      <c r="E7" s="73"/>
      <c r="F7" s="73"/>
      <c r="G7" s="73"/>
      <c r="H7" s="73"/>
      <c r="I7" s="73"/>
      <c r="J7" s="74"/>
    </row>
    <row r="8" spans="1:10" x14ac:dyDescent="0.35">
      <c r="A8" s="3" t="s">
        <v>1</v>
      </c>
      <c r="B8" s="73" t="s">
        <v>7</v>
      </c>
      <c r="C8" s="73"/>
      <c r="D8" s="73"/>
      <c r="E8" s="73"/>
      <c r="F8" s="73"/>
      <c r="G8" s="73"/>
      <c r="H8" s="73"/>
      <c r="I8" s="73"/>
      <c r="J8" s="74"/>
    </row>
    <row r="9" spans="1:10" x14ac:dyDescent="0.35">
      <c r="A9" s="3" t="s">
        <v>15</v>
      </c>
      <c r="B9" s="73">
        <v>1</v>
      </c>
      <c r="C9" s="73"/>
      <c r="D9" s="73"/>
      <c r="E9" s="73"/>
      <c r="F9" s="73"/>
      <c r="G9" s="73"/>
      <c r="H9" s="73"/>
      <c r="I9" s="73"/>
      <c r="J9" s="74"/>
    </row>
    <row r="10" spans="1:10" x14ac:dyDescent="0.35">
      <c r="A10" s="9" t="s">
        <v>18</v>
      </c>
      <c r="B10" s="88">
        <v>0.31</v>
      </c>
      <c r="C10" s="88"/>
      <c r="D10" s="88"/>
      <c r="E10" s="88"/>
      <c r="F10" s="88"/>
      <c r="G10" s="88"/>
      <c r="H10" s="88"/>
      <c r="I10" s="89"/>
      <c r="J10" s="90"/>
    </row>
    <row r="11" spans="1:10" x14ac:dyDescent="0.35">
      <c r="A11" s="4"/>
      <c r="B11" s="75" t="s">
        <v>21</v>
      </c>
      <c r="C11" s="76"/>
      <c r="D11" s="76"/>
      <c r="E11" s="76"/>
      <c r="F11" s="76"/>
      <c r="G11" s="76"/>
      <c r="H11" s="76"/>
      <c r="I11" s="76"/>
      <c r="J11" s="77"/>
    </row>
    <row r="12" spans="1:10" x14ac:dyDescent="0.35">
      <c r="A12" s="4"/>
      <c r="B12" s="14"/>
      <c r="C12" s="15"/>
      <c r="D12" s="15"/>
      <c r="F12" s="15"/>
      <c r="G12" s="15"/>
      <c r="H12" s="15"/>
      <c r="I12" s="18"/>
      <c r="J12" s="16"/>
    </row>
    <row r="13" spans="1:10" x14ac:dyDescent="0.35">
      <c r="A13" s="4"/>
      <c r="B13" s="91" t="s">
        <v>24</v>
      </c>
      <c r="C13" s="91" t="s">
        <v>19</v>
      </c>
      <c r="D13" s="91" t="s">
        <v>20</v>
      </c>
      <c r="E13" s="91" t="s">
        <v>2</v>
      </c>
      <c r="F13" s="76" t="s">
        <v>22</v>
      </c>
      <c r="G13" s="76"/>
      <c r="H13" s="76"/>
      <c r="I13" s="91" t="s">
        <v>69</v>
      </c>
      <c r="J13" s="16"/>
    </row>
    <row r="14" spans="1:10" x14ac:dyDescent="0.35">
      <c r="A14" s="17" t="s">
        <v>75</v>
      </c>
      <c r="B14" s="91"/>
      <c r="C14" s="91"/>
      <c r="D14" s="91"/>
      <c r="E14" s="91"/>
      <c r="F14" s="22" t="s">
        <v>25</v>
      </c>
      <c r="G14" s="5" t="s">
        <v>26</v>
      </c>
      <c r="H14" s="14" t="s">
        <v>23</v>
      </c>
      <c r="I14" s="91"/>
      <c r="J14" s="16" t="s">
        <v>3</v>
      </c>
    </row>
    <row r="15" spans="1:10" x14ac:dyDescent="0.35">
      <c r="A15" s="17">
        <v>144</v>
      </c>
      <c r="B15" s="10" t="s">
        <v>63</v>
      </c>
      <c r="C15" s="10">
        <v>1990</v>
      </c>
      <c r="D15" s="10">
        <v>264</v>
      </c>
      <c r="E15" s="10">
        <v>31</v>
      </c>
      <c r="F15" s="10">
        <v>47</v>
      </c>
      <c r="G15" s="10">
        <v>22</v>
      </c>
      <c r="H15" s="10">
        <v>69</v>
      </c>
      <c r="I15" s="10">
        <v>63362</v>
      </c>
      <c r="J15" s="11">
        <v>24</v>
      </c>
    </row>
    <row r="16" spans="1:10" ht="15" thickBot="1" x14ac:dyDescent="0.4">
      <c r="A16" s="7"/>
      <c r="B16" s="12"/>
      <c r="C16" s="8"/>
      <c r="D16" s="8"/>
      <c r="E16" s="12"/>
      <c r="F16" s="8"/>
      <c r="G16" s="8"/>
      <c r="H16" s="8"/>
      <c r="I16" s="12"/>
      <c r="J16" s="13"/>
    </row>
  </sheetData>
  <mergeCells count="16">
    <mergeCell ref="B7:J7"/>
    <mergeCell ref="A1:J2"/>
    <mergeCell ref="A3:J3"/>
    <mergeCell ref="A4:J4"/>
    <mergeCell ref="B5:J5"/>
    <mergeCell ref="B6:J6"/>
    <mergeCell ref="B8:J8"/>
    <mergeCell ref="B9:J9"/>
    <mergeCell ref="B10:J10"/>
    <mergeCell ref="B11:J11"/>
    <mergeCell ref="B13:B14"/>
    <mergeCell ref="C13:C14"/>
    <mergeCell ref="D13:D14"/>
    <mergeCell ref="E13:E14"/>
    <mergeCell ref="F13:H13"/>
    <mergeCell ref="I13:I14"/>
  </mergeCells>
  <pageMargins left="0.7" right="0.7" top="0.75" bottom="0.75" header="0.3" footer="0.3"/>
  <pageSetup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C2E24-EE69-4B31-8990-A32297B62B0F}">
  <sheetPr>
    <tabColor rgb="FFFFFF00"/>
  </sheetPr>
  <dimension ref="A1:J16"/>
  <sheetViews>
    <sheetView zoomScale="130" zoomScaleNormal="130" workbookViewId="0">
      <selection activeCell="B9" sqref="B9:J9"/>
    </sheetView>
  </sheetViews>
  <sheetFormatPr defaultColWidth="9.1796875" defaultRowHeight="14.5" x14ac:dyDescent="0.35"/>
  <cols>
    <col min="1" max="1" width="20.1796875" bestFit="1" customWidth="1"/>
    <col min="2" max="2" width="14.26953125" style="1" bestFit="1" customWidth="1"/>
    <col min="3" max="3" width="8.1796875" style="1" customWidth="1"/>
    <col min="4" max="4" width="10.54296875" style="1" customWidth="1"/>
    <col min="5" max="5" width="9.54296875" style="1" customWidth="1"/>
    <col min="6" max="6" width="12.1796875" style="1" customWidth="1"/>
    <col min="7" max="7" width="12.54296875" style="1" customWidth="1"/>
    <col min="8" max="8" width="8.81640625" style="1" bestFit="1" customWidth="1"/>
    <col min="9" max="9" width="14.1796875" style="1" customWidth="1"/>
    <col min="10" max="10" width="7" style="1" bestFit="1" customWidth="1"/>
  </cols>
  <sheetData>
    <row r="1" spans="1:10" x14ac:dyDescent="0.35">
      <c r="A1" s="66" t="s">
        <v>16</v>
      </c>
      <c r="B1" s="67"/>
      <c r="C1" s="67"/>
      <c r="D1" s="67"/>
      <c r="E1" s="67"/>
      <c r="F1" s="67"/>
      <c r="G1" s="67"/>
      <c r="H1" s="67"/>
      <c r="I1" s="67"/>
      <c r="J1" s="68"/>
    </row>
    <row r="2" spans="1:10" x14ac:dyDescent="0.35">
      <c r="A2" s="69"/>
      <c r="B2" s="70"/>
      <c r="C2" s="70"/>
      <c r="D2" s="70"/>
      <c r="E2" s="70"/>
      <c r="F2" s="70"/>
      <c r="G2" s="70"/>
      <c r="H2" s="70"/>
      <c r="I2" s="70"/>
      <c r="J2" s="71"/>
    </row>
    <row r="3" spans="1:10" x14ac:dyDescent="0.35">
      <c r="A3" s="72" t="s">
        <v>136</v>
      </c>
      <c r="B3" s="73"/>
      <c r="C3" s="73"/>
      <c r="D3" s="73"/>
      <c r="E3" s="73"/>
      <c r="F3" s="73"/>
      <c r="G3" s="73"/>
      <c r="H3" s="73"/>
      <c r="I3" s="73"/>
      <c r="J3" s="74"/>
    </row>
    <row r="4" spans="1:10" x14ac:dyDescent="0.35">
      <c r="A4" s="81"/>
      <c r="B4" s="76"/>
      <c r="C4" s="76"/>
      <c r="D4" s="76"/>
      <c r="E4" s="76"/>
      <c r="F4" s="76"/>
      <c r="G4" s="76"/>
      <c r="H4" s="76"/>
      <c r="I4" s="76"/>
      <c r="J4" s="77"/>
    </row>
    <row r="5" spans="1:10" x14ac:dyDescent="0.35">
      <c r="A5" s="2" t="s">
        <v>11</v>
      </c>
      <c r="B5" s="73">
        <v>843</v>
      </c>
      <c r="C5" s="73"/>
      <c r="D5" s="73"/>
      <c r="E5" s="73"/>
      <c r="F5" s="73"/>
      <c r="G5" s="73"/>
      <c r="H5" s="73"/>
      <c r="I5" s="73"/>
      <c r="J5" s="74"/>
    </row>
    <row r="6" spans="1:10" x14ac:dyDescent="0.35">
      <c r="A6" s="3" t="s">
        <v>12</v>
      </c>
      <c r="B6" s="73" t="s">
        <v>44</v>
      </c>
      <c r="C6" s="73"/>
      <c r="D6" s="73"/>
      <c r="E6" s="73"/>
      <c r="F6" s="73"/>
      <c r="G6" s="73"/>
      <c r="H6" s="73"/>
      <c r="I6" s="73"/>
      <c r="J6" s="74"/>
    </row>
    <row r="7" spans="1:10" x14ac:dyDescent="0.35">
      <c r="A7" s="3" t="s">
        <v>13</v>
      </c>
      <c r="B7" s="73" t="s">
        <v>14</v>
      </c>
      <c r="C7" s="73"/>
      <c r="D7" s="73"/>
      <c r="E7" s="73"/>
      <c r="F7" s="73"/>
      <c r="G7" s="73"/>
      <c r="H7" s="73"/>
      <c r="I7" s="73"/>
      <c r="J7" s="74"/>
    </row>
    <row r="8" spans="1:10" x14ac:dyDescent="0.35">
      <c r="A8" s="3" t="s">
        <v>1</v>
      </c>
      <c r="B8" s="73" t="s">
        <v>17</v>
      </c>
      <c r="C8" s="73"/>
      <c r="D8" s="73"/>
      <c r="E8" s="73"/>
      <c r="F8" s="73"/>
      <c r="G8" s="73"/>
      <c r="H8" s="73"/>
      <c r="I8" s="73"/>
      <c r="J8" s="74"/>
    </row>
    <row r="9" spans="1:10" x14ac:dyDescent="0.35">
      <c r="A9" s="3" t="s">
        <v>15</v>
      </c>
      <c r="B9" s="73">
        <v>1</v>
      </c>
      <c r="C9" s="73"/>
      <c r="D9" s="73"/>
      <c r="E9" s="73"/>
      <c r="F9" s="73"/>
      <c r="G9" s="73"/>
      <c r="H9" s="73"/>
      <c r="I9" s="73"/>
      <c r="J9" s="74"/>
    </row>
    <row r="10" spans="1:10" x14ac:dyDescent="0.35">
      <c r="A10" s="9" t="s">
        <v>18</v>
      </c>
      <c r="B10" s="88">
        <v>0.43</v>
      </c>
      <c r="C10" s="88"/>
      <c r="D10" s="88"/>
      <c r="E10" s="88"/>
      <c r="F10" s="88"/>
      <c r="G10" s="88"/>
      <c r="H10" s="88"/>
      <c r="I10" s="89"/>
      <c r="J10" s="90"/>
    </row>
    <row r="11" spans="1:10" x14ac:dyDescent="0.35">
      <c r="A11" s="4"/>
      <c r="B11" s="75" t="s">
        <v>21</v>
      </c>
      <c r="C11" s="76"/>
      <c r="D11" s="76"/>
      <c r="E11" s="76"/>
      <c r="F11" s="76"/>
      <c r="G11" s="76"/>
      <c r="H11" s="76"/>
      <c r="I11" s="76"/>
      <c r="J11" s="77"/>
    </row>
    <row r="12" spans="1:10" x14ac:dyDescent="0.35">
      <c r="A12" s="4"/>
      <c r="B12" s="14"/>
      <c r="C12" s="15"/>
      <c r="D12" s="15"/>
      <c r="F12" s="15"/>
      <c r="G12" s="15"/>
      <c r="H12" s="15"/>
      <c r="I12" s="18"/>
      <c r="J12" s="16"/>
    </row>
    <row r="13" spans="1:10" ht="15" customHeight="1" x14ac:dyDescent="0.35">
      <c r="A13" s="4"/>
      <c r="B13" s="91" t="s">
        <v>24</v>
      </c>
      <c r="C13" s="91" t="s">
        <v>19</v>
      </c>
      <c r="D13" s="91" t="s">
        <v>20</v>
      </c>
      <c r="E13" s="91" t="s">
        <v>2</v>
      </c>
      <c r="F13" s="76" t="s">
        <v>22</v>
      </c>
      <c r="G13" s="76"/>
      <c r="H13" s="76"/>
      <c r="I13" s="91" t="s">
        <v>70</v>
      </c>
      <c r="J13" s="16"/>
    </row>
    <row r="14" spans="1:10" x14ac:dyDescent="0.35">
      <c r="A14" s="17" t="s">
        <v>9</v>
      </c>
      <c r="B14" s="91"/>
      <c r="C14" s="91"/>
      <c r="D14" s="91"/>
      <c r="E14" s="91"/>
      <c r="F14" s="22" t="s">
        <v>25</v>
      </c>
      <c r="G14" s="5" t="s">
        <v>26</v>
      </c>
      <c r="H14" s="14" t="s">
        <v>23</v>
      </c>
      <c r="I14" s="91"/>
      <c r="J14" s="16" t="s">
        <v>3</v>
      </c>
    </row>
    <row r="15" spans="1:10" x14ac:dyDescent="0.35">
      <c r="A15" s="17">
        <v>15</v>
      </c>
      <c r="B15" s="10" t="s">
        <v>29</v>
      </c>
      <c r="C15" s="10">
        <v>1995</v>
      </c>
      <c r="D15" s="10">
        <v>409</v>
      </c>
      <c r="E15" s="10">
        <v>43</v>
      </c>
      <c r="F15" s="10">
        <v>44</v>
      </c>
      <c r="G15" s="10">
        <v>13</v>
      </c>
      <c r="H15" s="10">
        <v>57</v>
      </c>
      <c r="I15" s="10" t="s">
        <v>0</v>
      </c>
      <c r="J15" s="11">
        <v>30</v>
      </c>
    </row>
    <row r="16" spans="1:10" ht="15" thickBot="1" x14ac:dyDescent="0.4">
      <c r="A16" s="7"/>
      <c r="B16" s="12"/>
      <c r="C16" s="8"/>
      <c r="D16" s="8"/>
      <c r="E16" s="12"/>
      <c r="F16" s="8"/>
      <c r="G16" s="8"/>
      <c r="H16" s="8"/>
      <c r="I16" s="12"/>
      <c r="J16" s="13"/>
    </row>
  </sheetData>
  <mergeCells count="16">
    <mergeCell ref="B7:J7"/>
    <mergeCell ref="A1:J2"/>
    <mergeCell ref="A3:J3"/>
    <mergeCell ref="A4:J4"/>
    <mergeCell ref="B5:J5"/>
    <mergeCell ref="B6:J6"/>
    <mergeCell ref="B8:J8"/>
    <mergeCell ref="B9:J9"/>
    <mergeCell ref="B10:J10"/>
    <mergeCell ref="B11:J11"/>
    <mergeCell ref="B13:B14"/>
    <mergeCell ref="C13:C14"/>
    <mergeCell ref="D13:D14"/>
    <mergeCell ref="E13:E14"/>
    <mergeCell ref="F13:H13"/>
    <mergeCell ref="I13:I14"/>
  </mergeCells>
  <pageMargins left="0.7" right="0.7" top="0.75" bottom="0.75" header="0.3" footer="0.3"/>
  <pageSetup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6F46F-2981-4354-A44B-778B7213869B}">
  <sheetPr>
    <tabColor rgb="FFFFFF00"/>
  </sheetPr>
  <dimension ref="A1:J17"/>
  <sheetViews>
    <sheetView zoomScale="130" zoomScaleNormal="130" workbookViewId="0">
      <selection activeCell="B9" sqref="B9:J9"/>
    </sheetView>
  </sheetViews>
  <sheetFormatPr defaultColWidth="9.1796875" defaultRowHeight="14.5" x14ac:dyDescent="0.35"/>
  <cols>
    <col min="1" max="1" width="20.1796875" bestFit="1" customWidth="1"/>
    <col min="2" max="2" width="14.26953125" style="1" bestFit="1" customWidth="1"/>
    <col min="3" max="3" width="8.1796875" style="1" customWidth="1"/>
    <col min="4" max="4" width="10.54296875" style="1" customWidth="1"/>
    <col min="5" max="5" width="9.54296875" style="1" customWidth="1"/>
    <col min="6" max="6" width="12.1796875" style="1" customWidth="1"/>
    <col min="7" max="7" width="12.54296875" style="1" customWidth="1"/>
    <col min="8" max="8" width="8.81640625" style="1" bestFit="1" customWidth="1"/>
    <col min="9" max="9" width="14.1796875" style="1" customWidth="1"/>
    <col min="10" max="10" width="7" style="1" bestFit="1" customWidth="1"/>
  </cols>
  <sheetData>
    <row r="1" spans="1:10" x14ac:dyDescent="0.35">
      <c r="A1" s="66" t="s">
        <v>16</v>
      </c>
      <c r="B1" s="67"/>
      <c r="C1" s="67"/>
      <c r="D1" s="67"/>
      <c r="E1" s="67"/>
      <c r="F1" s="67"/>
      <c r="G1" s="67"/>
      <c r="H1" s="67"/>
      <c r="I1" s="67"/>
      <c r="J1" s="68"/>
    </row>
    <row r="2" spans="1:10" x14ac:dyDescent="0.35">
      <c r="A2" s="69"/>
      <c r="B2" s="70"/>
      <c r="C2" s="70"/>
      <c r="D2" s="70"/>
      <c r="E2" s="70"/>
      <c r="F2" s="70"/>
      <c r="G2" s="70"/>
      <c r="H2" s="70"/>
      <c r="I2" s="70"/>
      <c r="J2" s="71"/>
    </row>
    <row r="3" spans="1:10" x14ac:dyDescent="0.35">
      <c r="A3" s="72" t="s">
        <v>136</v>
      </c>
      <c r="B3" s="73"/>
      <c r="C3" s="73"/>
      <c r="D3" s="73"/>
      <c r="E3" s="73"/>
      <c r="F3" s="73"/>
      <c r="G3" s="73"/>
      <c r="H3" s="73"/>
      <c r="I3" s="73"/>
      <c r="J3" s="74"/>
    </row>
    <row r="4" spans="1:10" x14ac:dyDescent="0.35">
      <c r="A4" s="81"/>
      <c r="B4" s="76"/>
      <c r="C4" s="76"/>
      <c r="D4" s="76"/>
      <c r="E4" s="76"/>
      <c r="F4" s="76"/>
      <c r="G4" s="76"/>
      <c r="H4" s="76"/>
      <c r="I4" s="76"/>
      <c r="J4" s="77"/>
    </row>
    <row r="5" spans="1:10" x14ac:dyDescent="0.35">
      <c r="A5" s="2" t="s">
        <v>11</v>
      </c>
      <c r="B5" s="73">
        <v>848</v>
      </c>
      <c r="C5" s="73"/>
      <c r="D5" s="73"/>
      <c r="E5" s="73"/>
      <c r="F5" s="73"/>
      <c r="G5" s="73"/>
      <c r="H5" s="73"/>
      <c r="I5" s="73"/>
      <c r="J5" s="74"/>
    </row>
    <row r="6" spans="1:10" x14ac:dyDescent="0.35">
      <c r="A6" s="3" t="s">
        <v>12</v>
      </c>
      <c r="B6" s="73" t="s">
        <v>45</v>
      </c>
      <c r="C6" s="73"/>
      <c r="D6" s="73"/>
      <c r="E6" s="73"/>
      <c r="F6" s="73"/>
      <c r="G6" s="73"/>
      <c r="H6" s="73"/>
      <c r="I6" s="73"/>
      <c r="J6" s="74"/>
    </row>
    <row r="7" spans="1:10" x14ac:dyDescent="0.35">
      <c r="A7" s="3" t="s">
        <v>13</v>
      </c>
      <c r="B7" s="73" t="s">
        <v>14</v>
      </c>
      <c r="C7" s="73"/>
      <c r="D7" s="73"/>
      <c r="E7" s="73"/>
      <c r="F7" s="73"/>
      <c r="G7" s="73"/>
      <c r="H7" s="73"/>
      <c r="I7" s="73"/>
      <c r="J7" s="74"/>
    </row>
    <row r="8" spans="1:10" x14ac:dyDescent="0.35">
      <c r="A8" s="3" t="s">
        <v>1</v>
      </c>
      <c r="B8" s="73" t="s">
        <v>17</v>
      </c>
      <c r="C8" s="73"/>
      <c r="D8" s="73"/>
      <c r="E8" s="73"/>
      <c r="F8" s="73"/>
      <c r="G8" s="73"/>
      <c r="H8" s="73"/>
      <c r="I8" s="73"/>
      <c r="J8" s="74"/>
    </row>
    <row r="9" spans="1:10" x14ac:dyDescent="0.35">
      <c r="A9" s="3" t="s">
        <v>15</v>
      </c>
      <c r="B9" s="73">
        <v>2</v>
      </c>
      <c r="C9" s="73"/>
      <c r="D9" s="73"/>
      <c r="E9" s="73"/>
      <c r="F9" s="73"/>
      <c r="G9" s="73"/>
      <c r="H9" s="73"/>
      <c r="I9" s="73"/>
      <c r="J9" s="74"/>
    </row>
    <row r="10" spans="1:10" x14ac:dyDescent="0.35">
      <c r="A10" s="9" t="s">
        <v>18</v>
      </c>
      <c r="B10" s="88">
        <v>0.25</v>
      </c>
      <c r="C10" s="88"/>
      <c r="D10" s="88"/>
      <c r="E10" s="88"/>
      <c r="F10" s="88"/>
      <c r="G10" s="88"/>
      <c r="H10" s="88"/>
      <c r="I10" s="89"/>
      <c r="J10" s="90"/>
    </row>
    <row r="11" spans="1:10" x14ac:dyDescent="0.35">
      <c r="A11" s="4"/>
      <c r="B11" s="75" t="s">
        <v>21</v>
      </c>
      <c r="C11" s="76"/>
      <c r="D11" s="76"/>
      <c r="E11" s="76"/>
      <c r="F11" s="76"/>
      <c r="G11" s="76"/>
      <c r="H11" s="76"/>
      <c r="I11" s="76"/>
      <c r="J11" s="77"/>
    </row>
    <row r="12" spans="1:10" x14ac:dyDescent="0.35">
      <c r="A12" s="4"/>
      <c r="B12" s="14"/>
      <c r="C12" s="15"/>
      <c r="D12" s="15"/>
      <c r="F12" s="15"/>
      <c r="G12" s="15"/>
      <c r="H12" s="15"/>
      <c r="I12" s="18"/>
      <c r="J12" s="16"/>
    </row>
    <row r="13" spans="1:10" ht="15" customHeight="1" x14ac:dyDescent="0.35">
      <c r="A13" s="4"/>
      <c r="B13" s="91" t="s">
        <v>24</v>
      </c>
      <c r="C13" s="91" t="s">
        <v>19</v>
      </c>
      <c r="D13" s="91" t="s">
        <v>20</v>
      </c>
      <c r="E13" s="91" t="s">
        <v>2</v>
      </c>
      <c r="F13" s="76" t="s">
        <v>22</v>
      </c>
      <c r="G13" s="76"/>
      <c r="H13" s="76"/>
      <c r="I13" s="91" t="s">
        <v>70</v>
      </c>
      <c r="J13" s="16"/>
    </row>
    <row r="14" spans="1:10" x14ac:dyDescent="0.35">
      <c r="A14" s="17" t="s">
        <v>9</v>
      </c>
      <c r="B14" s="91"/>
      <c r="C14" s="91"/>
      <c r="D14" s="91"/>
      <c r="E14" s="91"/>
      <c r="F14" s="22" t="s">
        <v>25</v>
      </c>
      <c r="G14" s="5" t="s">
        <v>26</v>
      </c>
      <c r="H14" s="14" t="s">
        <v>23</v>
      </c>
      <c r="I14" s="91"/>
      <c r="J14" s="16" t="s">
        <v>3</v>
      </c>
    </row>
    <row r="15" spans="1:10" x14ac:dyDescent="0.35">
      <c r="A15" s="17">
        <v>2.8</v>
      </c>
      <c r="B15" s="10" t="s">
        <v>29</v>
      </c>
      <c r="C15" s="10">
        <v>1995</v>
      </c>
      <c r="D15" s="10">
        <v>46</v>
      </c>
      <c r="E15" s="10">
        <v>26</v>
      </c>
      <c r="F15" s="10" t="s">
        <v>0</v>
      </c>
      <c r="G15" s="10" t="s">
        <v>0</v>
      </c>
      <c r="H15" s="10">
        <v>74</v>
      </c>
      <c r="I15" s="10" t="s">
        <v>0</v>
      </c>
      <c r="J15" s="11">
        <v>30</v>
      </c>
    </row>
    <row r="16" spans="1:10" x14ac:dyDescent="0.35">
      <c r="A16" s="17">
        <v>4.9000000000000004</v>
      </c>
      <c r="B16" s="10" t="s">
        <v>29</v>
      </c>
      <c r="C16" s="10">
        <v>1995</v>
      </c>
      <c r="D16" s="10">
        <v>178</v>
      </c>
      <c r="E16" s="10">
        <v>23</v>
      </c>
      <c r="F16" s="10">
        <v>67</v>
      </c>
      <c r="G16" s="10">
        <v>10</v>
      </c>
      <c r="H16" s="10">
        <v>77</v>
      </c>
      <c r="I16" s="10" t="s">
        <v>0</v>
      </c>
      <c r="J16" s="11">
        <v>30</v>
      </c>
    </row>
    <row r="17" spans="1:10" ht="15" thickBot="1" x14ac:dyDescent="0.4">
      <c r="A17" s="7"/>
      <c r="B17" s="12"/>
      <c r="C17" s="8"/>
      <c r="D17" s="8"/>
      <c r="E17" s="12"/>
      <c r="F17" s="8"/>
      <c r="G17" s="8"/>
      <c r="H17" s="8"/>
      <c r="I17" s="12"/>
      <c r="J17" s="13"/>
    </row>
  </sheetData>
  <mergeCells count="16">
    <mergeCell ref="B7:J7"/>
    <mergeCell ref="A1:J2"/>
    <mergeCell ref="A3:J3"/>
    <mergeCell ref="A4:J4"/>
    <mergeCell ref="B5:J5"/>
    <mergeCell ref="B6:J6"/>
    <mergeCell ref="B8:J8"/>
    <mergeCell ref="B9:J9"/>
    <mergeCell ref="B10:J10"/>
    <mergeCell ref="B11:J11"/>
    <mergeCell ref="B13:B14"/>
    <mergeCell ref="C13:C14"/>
    <mergeCell ref="D13:D14"/>
    <mergeCell ref="E13:E14"/>
    <mergeCell ref="F13:H13"/>
    <mergeCell ref="I13:I14"/>
  </mergeCells>
  <pageMargins left="0.7" right="0.7" top="0.75" bottom="0.75" header="0.3" footer="0.3"/>
  <pageSetup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AA3EC-6018-443B-901B-68634B1092AF}">
  <sheetPr>
    <tabColor rgb="FFFFFF00"/>
  </sheetPr>
  <dimension ref="A1:J58"/>
  <sheetViews>
    <sheetView zoomScale="130" zoomScaleNormal="130" workbookViewId="0">
      <selection activeCell="A4" sqref="A4:K4"/>
    </sheetView>
  </sheetViews>
  <sheetFormatPr defaultColWidth="9.1796875" defaultRowHeight="14.5" x14ac:dyDescent="0.35"/>
  <cols>
    <col min="1" max="1" width="20.1796875" bestFit="1" customWidth="1"/>
    <col min="2" max="2" width="14.26953125" style="1" bestFit="1" customWidth="1"/>
    <col min="3" max="3" width="8.1796875" style="1" customWidth="1"/>
    <col min="4" max="4" width="10.54296875" style="1" customWidth="1"/>
    <col min="5" max="5" width="9.54296875" style="1" customWidth="1"/>
    <col min="6" max="6" width="12.1796875" style="1" customWidth="1"/>
    <col min="7" max="7" width="12.54296875" style="1" customWidth="1"/>
    <col min="8" max="8" width="8.81640625" style="1" bestFit="1" customWidth="1"/>
    <col min="9" max="9" width="14.1796875" style="1" customWidth="1"/>
    <col min="10" max="10" width="7" style="1" bestFit="1" customWidth="1"/>
  </cols>
  <sheetData>
    <row r="1" spans="1:10" x14ac:dyDescent="0.35">
      <c r="A1" s="66" t="s">
        <v>16</v>
      </c>
      <c r="B1" s="67"/>
      <c r="C1" s="67"/>
      <c r="D1" s="67"/>
      <c r="E1" s="67"/>
      <c r="F1" s="67"/>
      <c r="G1" s="67"/>
      <c r="H1" s="67"/>
      <c r="I1" s="67"/>
      <c r="J1" s="68"/>
    </row>
    <row r="2" spans="1:10" x14ac:dyDescent="0.35">
      <c r="A2" s="69"/>
      <c r="B2" s="70"/>
      <c r="C2" s="70"/>
      <c r="D2" s="70"/>
      <c r="E2" s="70"/>
      <c r="F2" s="70"/>
      <c r="G2" s="70"/>
      <c r="H2" s="70"/>
      <c r="I2" s="70"/>
      <c r="J2" s="71"/>
    </row>
    <row r="3" spans="1:10" x14ac:dyDescent="0.35">
      <c r="A3" s="72" t="s">
        <v>136</v>
      </c>
      <c r="B3" s="73"/>
      <c r="C3" s="73"/>
      <c r="D3" s="73"/>
      <c r="E3" s="73"/>
      <c r="F3" s="73"/>
      <c r="G3" s="73"/>
      <c r="H3" s="73"/>
      <c r="I3" s="73"/>
      <c r="J3" s="74"/>
    </row>
    <row r="4" spans="1:10" x14ac:dyDescent="0.35">
      <c r="A4" s="81"/>
      <c r="B4" s="76"/>
      <c r="C4" s="76"/>
      <c r="D4" s="76"/>
      <c r="E4" s="76"/>
      <c r="F4" s="76"/>
      <c r="G4" s="76"/>
      <c r="H4" s="76"/>
      <c r="I4" s="76"/>
      <c r="J4" s="77"/>
    </row>
    <row r="5" spans="1:10" x14ac:dyDescent="0.35">
      <c r="A5" s="2" t="s">
        <v>11</v>
      </c>
      <c r="B5" s="73">
        <v>850</v>
      </c>
      <c r="C5" s="73"/>
      <c r="D5" s="73"/>
      <c r="E5" s="73"/>
      <c r="F5" s="73"/>
      <c r="G5" s="73"/>
      <c r="H5" s="73"/>
      <c r="I5" s="73"/>
      <c r="J5" s="74"/>
    </row>
    <row r="6" spans="1:10" x14ac:dyDescent="0.35">
      <c r="A6" s="3" t="s">
        <v>12</v>
      </c>
      <c r="B6" s="73" t="s">
        <v>46</v>
      </c>
      <c r="C6" s="73"/>
      <c r="D6" s="73"/>
      <c r="E6" s="73"/>
      <c r="F6" s="73"/>
      <c r="G6" s="73"/>
      <c r="H6" s="73"/>
      <c r="I6" s="73"/>
      <c r="J6" s="74"/>
    </row>
    <row r="7" spans="1:10" x14ac:dyDescent="0.35">
      <c r="A7" s="3" t="s">
        <v>13</v>
      </c>
      <c r="B7" s="73" t="s">
        <v>14</v>
      </c>
      <c r="C7" s="73"/>
      <c r="D7" s="73"/>
      <c r="E7" s="73"/>
      <c r="F7" s="73"/>
      <c r="G7" s="73"/>
      <c r="H7" s="73"/>
      <c r="I7" s="73"/>
      <c r="J7" s="74"/>
    </row>
    <row r="8" spans="1:10" x14ac:dyDescent="0.35">
      <c r="A8" s="3" t="s">
        <v>1</v>
      </c>
      <c r="B8" s="73" t="s">
        <v>17</v>
      </c>
      <c r="C8" s="73"/>
      <c r="D8" s="73"/>
      <c r="E8" s="73"/>
      <c r="F8" s="73"/>
      <c r="G8" s="73"/>
      <c r="H8" s="73"/>
      <c r="I8" s="73"/>
      <c r="J8" s="74"/>
    </row>
    <row r="9" spans="1:10" x14ac:dyDescent="0.35">
      <c r="A9" s="3" t="s">
        <v>15</v>
      </c>
      <c r="B9" s="73">
        <v>43</v>
      </c>
      <c r="C9" s="73"/>
      <c r="D9" s="73"/>
      <c r="E9" s="73"/>
      <c r="F9" s="73"/>
      <c r="G9" s="73"/>
      <c r="H9" s="73"/>
      <c r="I9" s="73"/>
      <c r="J9" s="74"/>
    </row>
    <row r="10" spans="1:10" x14ac:dyDescent="0.35">
      <c r="A10" s="9" t="s">
        <v>18</v>
      </c>
      <c r="B10" s="88">
        <v>0.24</v>
      </c>
      <c r="C10" s="88"/>
      <c r="D10" s="88"/>
      <c r="E10" s="88"/>
      <c r="F10" s="88"/>
      <c r="G10" s="88"/>
      <c r="H10" s="88"/>
      <c r="I10" s="89"/>
      <c r="J10" s="90"/>
    </row>
    <row r="11" spans="1:10" x14ac:dyDescent="0.35">
      <c r="A11" s="4"/>
      <c r="B11" s="75" t="s">
        <v>21</v>
      </c>
      <c r="C11" s="76"/>
      <c r="D11" s="76"/>
      <c r="E11" s="76"/>
      <c r="F11" s="76"/>
      <c r="G11" s="76"/>
      <c r="H11" s="76"/>
      <c r="I11" s="76"/>
      <c r="J11" s="77"/>
    </row>
    <row r="12" spans="1:10" x14ac:dyDescent="0.35">
      <c r="A12" s="4"/>
      <c r="B12" s="14"/>
      <c r="C12" s="15"/>
      <c r="D12" s="15"/>
      <c r="F12" s="15"/>
      <c r="G12" s="15"/>
      <c r="H12" s="15"/>
      <c r="I12" s="18"/>
      <c r="J12" s="16"/>
    </row>
    <row r="13" spans="1:10" ht="15" customHeight="1" x14ac:dyDescent="0.35">
      <c r="A13" s="4"/>
      <c r="B13" s="91" t="s">
        <v>24</v>
      </c>
      <c r="C13" s="91" t="s">
        <v>19</v>
      </c>
      <c r="D13" s="91" t="s">
        <v>20</v>
      </c>
      <c r="E13" s="91" t="s">
        <v>2</v>
      </c>
      <c r="F13" s="76" t="s">
        <v>22</v>
      </c>
      <c r="G13" s="76"/>
      <c r="H13" s="76"/>
      <c r="I13" s="91" t="s">
        <v>73</v>
      </c>
      <c r="J13" s="16"/>
    </row>
    <row r="14" spans="1:10" x14ac:dyDescent="0.35">
      <c r="A14" s="17" t="s">
        <v>9</v>
      </c>
      <c r="B14" s="91"/>
      <c r="C14" s="91"/>
      <c r="D14" s="91"/>
      <c r="E14" s="91"/>
      <c r="F14" s="22" t="s">
        <v>25</v>
      </c>
      <c r="G14" s="5" t="s">
        <v>26</v>
      </c>
      <c r="H14" s="14" t="s">
        <v>23</v>
      </c>
      <c r="I14" s="91"/>
      <c r="J14" s="16" t="s">
        <v>3</v>
      </c>
    </row>
    <row r="15" spans="1:10" x14ac:dyDescent="0.35">
      <c r="A15" s="17">
        <v>15.16</v>
      </c>
      <c r="B15" s="10" t="s">
        <v>29</v>
      </c>
      <c r="C15" s="10">
        <v>1993</v>
      </c>
      <c r="D15" s="10">
        <v>161</v>
      </c>
      <c r="E15" s="10">
        <v>23</v>
      </c>
      <c r="F15" s="10">
        <v>51</v>
      </c>
      <c r="G15" s="10">
        <v>26</v>
      </c>
      <c r="H15" s="10">
        <v>77</v>
      </c>
      <c r="I15" s="10" t="s">
        <v>0</v>
      </c>
      <c r="J15" s="11">
        <v>33</v>
      </c>
    </row>
    <row r="16" spans="1:10" x14ac:dyDescent="0.35">
      <c r="A16" s="17">
        <v>31</v>
      </c>
      <c r="B16" s="10" t="s">
        <v>61</v>
      </c>
      <c r="C16" s="10">
        <v>1990</v>
      </c>
      <c r="D16" s="10" t="s">
        <v>0</v>
      </c>
      <c r="E16" s="10">
        <v>19</v>
      </c>
      <c r="F16" s="10">
        <v>36</v>
      </c>
      <c r="G16" s="10">
        <v>45</v>
      </c>
      <c r="H16" s="10">
        <v>81</v>
      </c>
      <c r="I16" s="10">
        <v>48700</v>
      </c>
      <c r="J16" s="11">
        <v>31</v>
      </c>
    </row>
    <row r="17" spans="1:10" x14ac:dyDescent="0.35">
      <c r="A17" s="17">
        <v>31</v>
      </c>
      <c r="B17" s="10" t="s">
        <v>61</v>
      </c>
      <c r="C17" s="10">
        <v>1990</v>
      </c>
      <c r="D17" s="10" t="s">
        <v>0</v>
      </c>
      <c r="E17" s="10">
        <v>28</v>
      </c>
      <c r="F17" s="10">
        <v>40</v>
      </c>
      <c r="G17" s="10">
        <v>32</v>
      </c>
      <c r="H17" s="10">
        <v>72</v>
      </c>
      <c r="I17" s="10">
        <v>23500</v>
      </c>
      <c r="J17" s="11">
        <v>31</v>
      </c>
    </row>
    <row r="18" spans="1:10" x14ac:dyDescent="0.35">
      <c r="A18" s="17">
        <v>31</v>
      </c>
      <c r="B18" s="10" t="s">
        <v>29</v>
      </c>
      <c r="C18" s="10">
        <v>1993</v>
      </c>
      <c r="D18" s="10">
        <v>440</v>
      </c>
      <c r="E18" s="10">
        <v>35</v>
      </c>
      <c r="F18" s="10" t="s">
        <v>0</v>
      </c>
      <c r="G18" s="10" t="s">
        <v>0</v>
      </c>
      <c r="H18" s="10">
        <v>65</v>
      </c>
      <c r="I18" s="10" t="s">
        <v>0</v>
      </c>
      <c r="J18" s="11">
        <v>30</v>
      </c>
    </row>
    <row r="19" spans="1:10" x14ac:dyDescent="0.35">
      <c r="A19" s="17">
        <v>34</v>
      </c>
      <c r="B19" s="10" t="s">
        <v>61</v>
      </c>
      <c r="C19" s="10">
        <v>1990</v>
      </c>
      <c r="D19" s="10" t="s">
        <v>0</v>
      </c>
      <c r="E19" s="10">
        <v>44</v>
      </c>
      <c r="F19" s="10">
        <v>29</v>
      </c>
      <c r="G19" s="10">
        <v>27</v>
      </c>
      <c r="H19" s="10">
        <v>56</v>
      </c>
      <c r="I19" s="10">
        <v>15200</v>
      </c>
      <c r="J19" s="11">
        <v>31</v>
      </c>
    </row>
    <row r="20" spans="1:10" x14ac:dyDescent="0.35">
      <c r="A20" s="17">
        <v>50</v>
      </c>
      <c r="B20" s="10" t="s">
        <v>67</v>
      </c>
      <c r="C20" s="10">
        <v>1998</v>
      </c>
      <c r="D20" s="10">
        <v>33</v>
      </c>
      <c r="E20" s="10">
        <v>9</v>
      </c>
      <c r="F20" s="10">
        <v>70</v>
      </c>
      <c r="G20" s="10">
        <v>21</v>
      </c>
      <c r="H20" s="10">
        <v>91</v>
      </c>
      <c r="I20" s="10" t="s">
        <v>0</v>
      </c>
      <c r="J20" s="11">
        <v>31</v>
      </c>
    </row>
    <row r="21" spans="1:10" x14ac:dyDescent="0.35">
      <c r="A21" s="17">
        <v>55</v>
      </c>
      <c r="B21" s="10" t="s">
        <v>61</v>
      </c>
      <c r="C21" s="10">
        <v>1990</v>
      </c>
      <c r="D21" s="10" t="s">
        <v>0</v>
      </c>
      <c r="E21" s="10">
        <v>27</v>
      </c>
      <c r="F21" s="10">
        <v>35</v>
      </c>
      <c r="G21" s="10">
        <v>38</v>
      </c>
      <c r="H21" s="10">
        <v>73</v>
      </c>
      <c r="I21" s="10">
        <v>27200</v>
      </c>
      <c r="J21" s="11">
        <v>31</v>
      </c>
    </row>
    <row r="22" spans="1:10" x14ac:dyDescent="0.35">
      <c r="A22" s="17">
        <v>65</v>
      </c>
      <c r="B22" s="10" t="s">
        <v>61</v>
      </c>
      <c r="C22" s="10">
        <v>1990</v>
      </c>
      <c r="D22" s="10" t="s">
        <v>0</v>
      </c>
      <c r="E22" s="10">
        <v>25</v>
      </c>
      <c r="F22" s="10">
        <v>25</v>
      </c>
      <c r="G22" s="10">
        <v>50</v>
      </c>
      <c r="H22" s="10">
        <v>75</v>
      </c>
      <c r="I22" s="10">
        <v>44700</v>
      </c>
      <c r="J22" s="11">
        <v>31</v>
      </c>
    </row>
    <row r="23" spans="1:10" x14ac:dyDescent="0.35">
      <c r="A23" s="17">
        <v>66</v>
      </c>
      <c r="B23" s="10" t="s">
        <v>61</v>
      </c>
      <c r="C23" s="10">
        <v>1990</v>
      </c>
      <c r="D23" s="10" t="s">
        <v>0</v>
      </c>
      <c r="E23" s="10">
        <v>23</v>
      </c>
      <c r="F23" s="10">
        <v>30</v>
      </c>
      <c r="G23" s="10">
        <v>47</v>
      </c>
      <c r="H23" s="10">
        <v>77</v>
      </c>
      <c r="I23" s="10">
        <v>63000</v>
      </c>
      <c r="J23" s="11">
        <v>31</v>
      </c>
    </row>
    <row r="24" spans="1:10" x14ac:dyDescent="0.35">
      <c r="A24" s="17">
        <v>66</v>
      </c>
      <c r="B24" s="10" t="s">
        <v>64</v>
      </c>
      <c r="C24" s="10">
        <v>2010</v>
      </c>
      <c r="D24" s="10">
        <v>382</v>
      </c>
      <c r="E24" s="10">
        <v>18</v>
      </c>
      <c r="F24" s="10">
        <v>47</v>
      </c>
      <c r="G24" s="10">
        <v>35</v>
      </c>
      <c r="H24" s="10">
        <v>82</v>
      </c>
      <c r="I24" s="10" t="s">
        <v>0</v>
      </c>
      <c r="J24" s="11">
        <v>27</v>
      </c>
    </row>
    <row r="25" spans="1:10" x14ac:dyDescent="0.35">
      <c r="A25" s="17">
        <v>67</v>
      </c>
      <c r="B25" s="10" t="s">
        <v>71</v>
      </c>
      <c r="C25" s="10">
        <v>2010</v>
      </c>
      <c r="D25" s="10" t="s">
        <v>0</v>
      </c>
      <c r="E25" s="10">
        <v>25</v>
      </c>
      <c r="F25" s="10">
        <v>40</v>
      </c>
      <c r="G25" s="10">
        <v>35</v>
      </c>
      <c r="H25" s="10">
        <v>75</v>
      </c>
      <c r="I25" s="10" t="s">
        <v>0</v>
      </c>
      <c r="J25" s="11">
        <v>27</v>
      </c>
    </row>
    <row r="26" spans="1:10" x14ac:dyDescent="0.35">
      <c r="A26" s="17">
        <v>70</v>
      </c>
      <c r="B26" s="10" t="s">
        <v>61</v>
      </c>
      <c r="C26" s="10">
        <v>1990</v>
      </c>
      <c r="D26" s="10" t="s">
        <v>0</v>
      </c>
      <c r="E26" s="10">
        <v>26</v>
      </c>
      <c r="F26" s="10">
        <v>30</v>
      </c>
      <c r="G26" s="10">
        <v>44</v>
      </c>
      <c r="H26" s="10">
        <v>74</v>
      </c>
      <c r="I26" s="10">
        <v>34300</v>
      </c>
      <c r="J26" s="11">
        <v>31</v>
      </c>
    </row>
    <row r="27" spans="1:10" x14ac:dyDescent="0.35">
      <c r="A27" s="17">
        <v>71.716999999999999</v>
      </c>
      <c r="B27" s="10" t="s">
        <v>64</v>
      </c>
      <c r="C27" s="10">
        <v>2001</v>
      </c>
      <c r="D27" s="10" t="s">
        <v>0</v>
      </c>
      <c r="E27" s="10">
        <v>31</v>
      </c>
      <c r="F27" s="10">
        <v>51</v>
      </c>
      <c r="G27" s="10">
        <v>18</v>
      </c>
      <c r="H27" s="10">
        <v>69</v>
      </c>
      <c r="I27" s="10" t="s">
        <v>0</v>
      </c>
      <c r="J27" s="11">
        <v>18</v>
      </c>
    </row>
    <row r="28" spans="1:10" x14ac:dyDescent="0.35">
      <c r="A28" s="17">
        <v>72</v>
      </c>
      <c r="B28" s="10" t="s">
        <v>64</v>
      </c>
      <c r="C28" s="10">
        <v>2001</v>
      </c>
      <c r="D28" s="10">
        <v>827</v>
      </c>
      <c r="E28" s="10">
        <v>31</v>
      </c>
      <c r="F28" s="10">
        <v>51</v>
      </c>
      <c r="G28" s="10">
        <v>18</v>
      </c>
      <c r="H28" s="10">
        <v>69</v>
      </c>
      <c r="I28" s="10" t="s">
        <v>0</v>
      </c>
      <c r="J28" s="11">
        <v>18</v>
      </c>
    </row>
    <row r="29" spans="1:10" x14ac:dyDescent="0.35">
      <c r="A29" s="17">
        <v>74.63</v>
      </c>
      <c r="B29" s="10" t="s">
        <v>64</v>
      </c>
      <c r="C29" s="10">
        <v>2001</v>
      </c>
      <c r="D29" s="10" t="s">
        <v>0</v>
      </c>
      <c r="E29" s="10">
        <v>33</v>
      </c>
      <c r="F29" s="10">
        <v>40</v>
      </c>
      <c r="G29" s="10">
        <v>27</v>
      </c>
      <c r="H29" s="10">
        <v>67</v>
      </c>
      <c r="I29" s="10" t="s">
        <v>0</v>
      </c>
      <c r="J29" s="11">
        <v>18</v>
      </c>
    </row>
    <row r="30" spans="1:10" x14ac:dyDescent="0.35">
      <c r="A30" s="17">
        <v>75</v>
      </c>
      <c r="B30" s="10" t="s">
        <v>64</v>
      </c>
      <c r="C30" s="10">
        <v>2001</v>
      </c>
      <c r="D30" s="10">
        <v>786</v>
      </c>
      <c r="E30" s="10">
        <v>33</v>
      </c>
      <c r="F30" s="10">
        <v>40</v>
      </c>
      <c r="G30" s="10">
        <v>27</v>
      </c>
      <c r="H30" s="10">
        <v>67</v>
      </c>
      <c r="I30" s="10" t="s">
        <v>0</v>
      </c>
      <c r="J30" s="11">
        <v>18</v>
      </c>
    </row>
    <row r="31" spans="1:10" x14ac:dyDescent="0.35">
      <c r="A31" s="17">
        <v>79</v>
      </c>
      <c r="B31" s="10" t="s">
        <v>71</v>
      </c>
      <c r="C31" s="10">
        <v>2001</v>
      </c>
      <c r="D31" s="10">
        <v>884</v>
      </c>
      <c r="E31" s="10">
        <v>34</v>
      </c>
      <c r="F31" s="10">
        <v>39</v>
      </c>
      <c r="G31" s="10">
        <v>27</v>
      </c>
      <c r="H31" s="10">
        <v>66</v>
      </c>
      <c r="I31" s="10" t="s">
        <v>0</v>
      </c>
      <c r="J31" s="11">
        <v>18</v>
      </c>
    </row>
    <row r="32" spans="1:10" x14ac:dyDescent="0.35">
      <c r="A32" s="17">
        <v>79</v>
      </c>
      <c r="B32" s="10" t="s">
        <v>64</v>
      </c>
      <c r="C32" s="10">
        <v>2001</v>
      </c>
      <c r="D32" s="10">
        <v>637</v>
      </c>
      <c r="E32" s="10">
        <v>13</v>
      </c>
      <c r="F32" s="10">
        <v>52</v>
      </c>
      <c r="G32" s="10">
        <v>35</v>
      </c>
      <c r="H32" s="10">
        <v>87</v>
      </c>
      <c r="I32" s="10" t="s">
        <v>0</v>
      </c>
      <c r="J32" s="11">
        <v>18</v>
      </c>
    </row>
    <row r="33" spans="1:10" x14ac:dyDescent="0.35">
      <c r="A33" s="17">
        <v>79</v>
      </c>
      <c r="B33" s="10" t="s">
        <v>36</v>
      </c>
      <c r="C33" s="10">
        <v>2002</v>
      </c>
      <c r="D33" s="10">
        <v>547</v>
      </c>
      <c r="E33" s="10">
        <v>15</v>
      </c>
      <c r="F33" s="10">
        <v>64</v>
      </c>
      <c r="G33" s="10">
        <v>21</v>
      </c>
      <c r="H33" s="10">
        <v>85</v>
      </c>
      <c r="I33" s="10" t="s">
        <v>0</v>
      </c>
      <c r="J33" s="11">
        <v>18</v>
      </c>
    </row>
    <row r="34" spans="1:10" x14ac:dyDescent="0.35">
      <c r="A34" s="17">
        <v>79</v>
      </c>
      <c r="B34" s="10" t="s">
        <v>36</v>
      </c>
      <c r="C34" s="10">
        <v>2002</v>
      </c>
      <c r="D34" s="10">
        <v>798</v>
      </c>
      <c r="E34" s="10">
        <v>20</v>
      </c>
      <c r="F34" s="10">
        <v>58</v>
      </c>
      <c r="G34" s="10">
        <v>22</v>
      </c>
      <c r="H34" s="10">
        <v>80</v>
      </c>
      <c r="I34" s="10" t="s">
        <v>0</v>
      </c>
      <c r="J34" s="11">
        <v>18</v>
      </c>
    </row>
    <row r="35" spans="1:10" x14ac:dyDescent="0.35">
      <c r="A35" s="17">
        <v>79.096999999999994</v>
      </c>
      <c r="B35" s="10" t="s">
        <v>36</v>
      </c>
      <c r="C35" s="10">
        <v>2002</v>
      </c>
      <c r="D35" s="10" t="s">
        <v>0</v>
      </c>
      <c r="E35" s="10">
        <v>15</v>
      </c>
      <c r="F35" s="10">
        <v>64</v>
      </c>
      <c r="G35" s="10">
        <v>21</v>
      </c>
      <c r="H35" s="10">
        <v>85</v>
      </c>
      <c r="I35" s="10" t="s">
        <v>0</v>
      </c>
      <c r="J35" s="11">
        <v>18</v>
      </c>
    </row>
    <row r="36" spans="1:10" x14ac:dyDescent="0.35">
      <c r="A36" s="17">
        <v>79.096999999999994</v>
      </c>
      <c r="B36" s="10" t="s">
        <v>64</v>
      </c>
      <c r="C36" s="10">
        <v>2001</v>
      </c>
      <c r="D36" s="10" t="s">
        <v>0</v>
      </c>
      <c r="E36" s="10">
        <v>13</v>
      </c>
      <c r="F36" s="10">
        <v>52</v>
      </c>
      <c r="G36" s="10">
        <v>35</v>
      </c>
      <c r="H36" s="10">
        <v>87</v>
      </c>
      <c r="I36" s="10" t="s">
        <v>0</v>
      </c>
      <c r="J36" s="11">
        <v>18</v>
      </c>
    </row>
    <row r="37" spans="1:10" x14ac:dyDescent="0.35">
      <c r="A37" s="17">
        <v>79.323999999999998</v>
      </c>
      <c r="B37" s="10" t="s">
        <v>36</v>
      </c>
      <c r="C37" s="10">
        <v>2002</v>
      </c>
      <c r="D37" s="10" t="s">
        <v>0</v>
      </c>
      <c r="E37" s="10">
        <v>20</v>
      </c>
      <c r="F37" s="10">
        <v>58</v>
      </c>
      <c r="G37" s="10">
        <v>22</v>
      </c>
      <c r="H37" s="10">
        <v>80</v>
      </c>
      <c r="I37" s="10" t="s">
        <v>0</v>
      </c>
      <c r="J37" s="11">
        <v>18</v>
      </c>
    </row>
    <row r="38" spans="1:10" x14ac:dyDescent="0.35">
      <c r="A38" s="17">
        <v>79.335999999999999</v>
      </c>
      <c r="B38" s="10" t="s">
        <v>71</v>
      </c>
      <c r="C38" s="10">
        <v>2001</v>
      </c>
      <c r="D38" s="10" t="s">
        <v>0</v>
      </c>
      <c r="E38" s="10">
        <v>34</v>
      </c>
      <c r="F38" s="10">
        <v>39</v>
      </c>
      <c r="G38" s="10">
        <v>27</v>
      </c>
      <c r="H38" s="10">
        <v>66</v>
      </c>
      <c r="I38" s="10" t="s">
        <v>0</v>
      </c>
      <c r="J38" s="11">
        <v>18</v>
      </c>
    </row>
    <row r="39" spans="1:10" x14ac:dyDescent="0.35">
      <c r="A39" s="17">
        <v>79.771000000000001</v>
      </c>
      <c r="B39" s="10" t="s">
        <v>72</v>
      </c>
      <c r="C39" s="10">
        <v>2002</v>
      </c>
      <c r="D39" s="10" t="s">
        <v>0</v>
      </c>
      <c r="E39" s="10">
        <v>38</v>
      </c>
      <c r="F39" s="10">
        <v>44</v>
      </c>
      <c r="G39" s="10">
        <v>18</v>
      </c>
      <c r="H39" s="10">
        <v>62</v>
      </c>
      <c r="I39" s="10" t="s">
        <v>0</v>
      </c>
      <c r="J39" s="11">
        <v>18</v>
      </c>
    </row>
    <row r="40" spans="1:10" x14ac:dyDescent="0.35">
      <c r="A40" s="17">
        <v>80</v>
      </c>
      <c r="B40" s="10" t="s">
        <v>72</v>
      </c>
      <c r="C40" s="10">
        <v>2002</v>
      </c>
      <c r="D40" s="10">
        <v>478</v>
      </c>
      <c r="E40" s="10">
        <v>38</v>
      </c>
      <c r="F40" s="10">
        <v>44</v>
      </c>
      <c r="G40" s="10">
        <v>18</v>
      </c>
      <c r="H40" s="10">
        <v>62</v>
      </c>
      <c r="I40" s="10" t="s">
        <v>0</v>
      </c>
      <c r="J40" s="11">
        <v>18</v>
      </c>
    </row>
    <row r="41" spans="1:10" x14ac:dyDescent="0.35">
      <c r="A41" s="17">
        <v>80</v>
      </c>
      <c r="B41" s="10" t="s">
        <v>36</v>
      </c>
      <c r="C41" s="10">
        <v>2002</v>
      </c>
      <c r="D41" s="10">
        <v>617</v>
      </c>
      <c r="E41" s="10">
        <v>12</v>
      </c>
      <c r="F41" s="10">
        <v>68</v>
      </c>
      <c r="G41" s="10">
        <v>20</v>
      </c>
      <c r="H41" s="10">
        <v>88</v>
      </c>
      <c r="I41" s="10" t="s">
        <v>0</v>
      </c>
      <c r="J41" s="11">
        <v>18</v>
      </c>
    </row>
    <row r="42" spans="1:10" x14ac:dyDescent="0.35">
      <c r="A42" s="17">
        <v>80</v>
      </c>
      <c r="B42" s="10" t="s">
        <v>36</v>
      </c>
      <c r="C42" s="10">
        <v>2002</v>
      </c>
      <c r="D42" s="10">
        <v>538</v>
      </c>
      <c r="E42" s="10">
        <v>25</v>
      </c>
      <c r="F42" s="10">
        <v>52</v>
      </c>
      <c r="G42" s="10">
        <v>23</v>
      </c>
      <c r="H42" s="10">
        <v>75</v>
      </c>
      <c r="I42" s="10" t="s">
        <v>0</v>
      </c>
      <c r="J42" s="11">
        <v>18</v>
      </c>
    </row>
    <row r="43" spans="1:10" x14ac:dyDescent="0.35">
      <c r="A43" s="17">
        <v>80.147000000000006</v>
      </c>
      <c r="B43" s="10" t="s">
        <v>36</v>
      </c>
      <c r="C43" s="10">
        <v>2002</v>
      </c>
      <c r="D43" s="10" t="s">
        <v>0</v>
      </c>
      <c r="E43" s="10">
        <v>12</v>
      </c>
      <c r="F43" s="10">
        <v>68</v>
      </c>
      <c r="G43" s="10">
        <v>20</v>
      </c>
      <c r="H43" s="10">
        <v>88</v>
      </c>
      <c r="I43" s="10" t="s">
        <v>0</v>
      </c>
      <c r="J43" s="11">
        <v>18</v>
      </c>
    </row>
    <row r="44" spans="1:10" x14ac:dyDescent="0.35">
      <c r="A44" s="17">
        <v>80.147000000000006</v>
      </c>
      <c r="B44" s="10" t="s">
        <v>36</v>
      </c>
      <c r="C44" s="10">
        <v>2002</v>
      </c>
      <c r="D44" s="10" t="s">
        <v>0</v>
      </c>
      <c r="E44" s="10">
        <v>25</v>
      </c>
      <c r="F44" s="10">
        <v>52</v>
      </c>
      <c r="G44" s="10">
        <v>23</v>
      </c>
      <c r="H44" s="10">
        <v>75</v>
      </c>
      <c r="I44" s="10" t="s">
        <v>0</v>
      </c>
      <c r="J44" s="11">
        <v>18</v>
      </c>
    </row>
    <row r="45" spans="1:10" x14ac:dyDescent="0.35">
      <c r="A45" s="17">
        <v>81</v>
      </c>
      <c r="B45" s="10" t="s">
        <v>62</v>
      </c>
      <c r="C45" s="10">
        <v>1997</v>
      </c>
      <c r="D45" s="10" t="s">
        <v>0</v>
      </c>
      <c r="E45" s="10">
        <v>31</v>
      </c>
      <c r="F45" s="10">
        <v>46</v>
      </c>
      <c r="G45" s="10">
        <v>23</v>
      </c>
      <c r="H45" s="10">
        <v>69</v>
      </c>
      <c r="I45" s="10" t="s">
        <v>0</v>
      </c>
      <c r="J45" s="11">
        <v>26</v>
      </c>
    </row>
    <row r="46" spans="1:10" x14ac:dyDescent="0.35">
      <c r="A46" s="17">
        <v>87.4</v>
      </c>
      <c r="B46" s="10" t="s">
        <v>62</v>
      </c>
      <c r="C46" s="10">
        <v>1997</v>
      </c>
      <c r="D46" s="10" t="s">
        <v>0</v>
      </c>
      <c r="E46" s="10">
        <v>32</v>
      </c>
      <c r="F46" s="10">
        <v>55</v>
      </c>
      <c r="G46" s="10">
        <v>13</v>
      </c>
      <c r="H46" s="10">
        <v>68</v>
      </c>
      <c r="I46" s="10" t="s">
        <v>0</v>
      </c>
      <c r="J46" s="11">
        <v>26</v>
      </c>
    </row>
    <row r="47" spans="1:10" x14ac:dyDescent="0.35">
      <c r="A47" s="17">
        <v>88</v>
      </c>
      <c r="B47" s="10" t="s">
        <v>36</v>
      </c>
      <c r="C47" s="10">
        <v>2010</v>
      </c>
      <c r="D47" s="10">
        <v>497</v>
      </c>
      <c r="E47" s="10">
        <v>15</v>
      </c>
      <c r="F47" s="10">
        <v>49</v>
      </c>
      <c r="G47" s="10">
        <v>36</v>
      </c>
      <c r="H47" s="10">
        <v>85</v>
      </c>
      <c r="I47" s="10" t="s">
        <v>0</v>
      </c>
      <c r="J47" s="11">
        <v>27</v>
      </c>
    </row>
    <row r="48" spans="1:10" x14ac:dyDescent="0.35">
      <c r="A48" s="17">
        <v>89.8</v>
      </c>
      <c r="B48" s="10" t="s">
        <v>62</v>
      </c>
      <c r="C48" s="10">
        <v>1997</v>
      </c>
      <c r="D48" s="10" t="s">
        <v>0</v>
      </c>
      <c r="E48" s="10">
        <v>38</v>
      </c>
      <c r="F48" s="10">
        <v>47</v>
      </c>
      <c r="G48" s="10">
        <v>15</v>
      </c>
      <c r="H48" s="10">
        <v>62</v>
      </c>
      <c r="I48" s="10" t="s">
        <v>0</v>
      </c>
      <c r="J48" s="11">
        <v>26</v>
      </c>
    </row>
    <row r="49" spans="1:10" x14ac:dyDescent="0.35">
      <c r="A49" s="17">
        <v>93</v>
      </c>
      <c r="B49" s="10" t="s">
        <v>71</v>
      </c>
      <c r="C49" s="10">
        <v>2010</v>
      </c>
      <c r="D49" s="10">
        <v>440</v>
      </c>
      <c r="E49" s="10">
        <v>21</v>
      </c>
      <c r="F49" s="10">
        <v>41</v>
      </c>
      <c r="G49" s="10">
        <v>38</v>
      </c>
      <c r="H49" s="10">
        <v>79</v>
      </c>
      <c r="I49" s="10" t="s">
        <v>0</v>
      </c>
      <c r="J49" s="11">
        <v>27</v>
      </c>
    </row>
    <row r="50" spans="1:10" x14ac:dyDescent="0.35">
      <c r="A50" s="17">
        <v>94</v>
      </c>
      <c r="B50" s="10" t="s">
        <v>64</v>
      </c>
      <c r="C50" s="10">
        <v>2002</v>
      </c>
      <c r="D50" s="10">
        <v>536</v>
      </c>
      <c r="E50" s="10">
        <v>7</v>
      </c>
      <c r="F50" s="10">
        <v>45</v>
      </c>
      <c r="G50" s="10">
        <v>48</v>
      </c>
      <c r="H50" s="10">
        <v>93</v>
      </c>
      <c r="I50" s="10" t="s">
        <v>0</v>
      </c>
      <c r="J50" s="11">
        <v>27</v>
      </c>
    </row>
    <row r="51" spans="1:10" x14ac:dyDescent="0.35">
      <c r="A51" s="17">
        <v>95</v>
      </c>
      <c r="B51" s="10" t="s">
        <v>36</v>
      </c>
      <c r="C51" s="10">
        <v>2010</v>
      </c>
      <c r="D51" s="10" t="s">
        <v>0</v>
      </c>
      <c r="E51" s="10">
        <v>16</v>
      </c>
      <c r="F51" s="10">
        <v>56</v>
      </c>
      <c r="G51" s="10">
        <v>28</v>
      </c>
      <c r="H51" s="10">
        <v>84</v>
      </c>
      <c r="I51" s="10" t="s">
        <v>0</v>
      </c>
      <c r="J51" s="11">
        <v>27</v>
      </c>
    </row>
    <row r="52" spans="1:10" x14ac:dyDescent="0.35">
      <c r="A52" s="17">
        <v>96</v>
      </c>
      <c r="B52" s="10" t="s">
        <v>36</v>
      </c>
      <c r="C52" s="10">
        <v>2010</v>
      </c>
      <c r="D52" s="10" t="s">
        <v>0</v>
      </c>
      <c r="E52" s="10">
        <v>19</v>
      </c>
      <c r="F52" s="10">
        <v>48</v>
      </c>
      <c r="G52" s="10">
        <v>33</v>
      </c>
      <c r="H52" s="10">
        <v>81</v>
      </c>
      <c r="I52" s="10" t="s">
        <v>0</v>
      </c>
      <c r="J52" s="11">
        <v>27</v>
      </c>
    </row>
    <row r="53" spans="1:10" x14ac:dyDescent="0.35">
      <c r="A53" s="17">
        <v>96</v>
      </c>
      <c r="B53" s="10" t="s">
        <v>36</v>
      </c>
      <c r="C53" s="10">
        <v>2010</v>
      </c>
      <c r="D53" s="10" t="s">
        <v>0</v>
      </c>
      <c r="E53" s="10">
        <v>15</v>
      </c>
      <c r="F53" s="10">
        <v>64</v>
      </c>
      <c r="G53" s="10">
        <v>21</v>
      </c>
      <c r="H53" s="10">
        <v>85</v>
      </c>
      <c r="I53" s="10" t="s">
        <v>0</v>
      </c>
      <c r="J53" s="11">
        <v>27</v>
      </c>
    </row>
    <row r="54" spans="1:10" x14ac:dyDescent="0.35">
      <c r="A54" s="17">
        <v>99</v>
      </c>
      <c r="B54" s="10" t="s">
        <v>36</v>
      </c>
      <c r="C54" s="10">
        <v>2010</v>
      </c>
      <c r="D54" s="10" t="s">
        <v>0</v>
      </c>
      <c r="E54" s="10">
        <v>17</v>
      </c>
      <c r="F54" s="10">
        <v>54</v>
      </c>
      <c r="G54" s="10">
        <v>29</v>
      </c>
      <c r="H54" s="10">
        <v>83</v>
      </c>
      <c r="I54" s="10" t="s">
        <v>0</v>
      </c>
      <c r="J54" s="11">
        <v>27</v>
      </c>
    </row>
    <row r="55" spans="1:10" x14ac:dyDescent="0.35">
      <c r="A55" s="17">
        <v>104</v>
      </c>
      <c r="B55" s="10" t="s">
        <v>36</v>
      </c>
      <c r="C55" s="10">
        <v>2010</v>
      </c>
      <c r="D55" s="10" t="s">
        <v>0</v>
      </c>
      <c r="E55" s="10">
        <v>18</v>
      </c>
      <c r="F55" s="10">
        <v>55</v>
      </c>
      <c r="G55" s="10">
        <v>27</v>
      </c>
      <c r="H55" s="10">
        <v>82</v>
      </c>
      <c r="I55" s="10" t="s">
        <v>0</v>
      </c>
      <c r="J55" s="11">
        <v>27</v>
      </c>
    </row>
    <row r="56" spans="1:10" x14ac:dyDescent="0.35">
      <c r="A56" s="17">
        <v>105.3</v>
      </c>
      <c r="B56" s="10" t="s">
        <v>62</v>
      </c>
      <c r="C56" s="10">
        <v>1997</v>
      </c>
      <c r="D56" s="10" t="s">
        <v>0</v>
      </c>
      <c r="E56" s="10">
        <v>33</v>
      </c>
      <c r="F56" s="10">
        <v>48</v>
      </c>
      <c r="G56" s="10">
        <v>19</v>
      </c>
      <c r="H56" s="10">
        <v>67</v>
      </c>
      <c r="I56" s="10" t="s">
        <v>0</v>
      </c>
      <c r="J56" s="11">
        <v>26</v>
      </c>
    </row>
    <row r="57" spans="1:10" x14ac:dyDescent="0.35">
      <c r="A57" s="17">
        <v>123.5</v>
      </c>
      <c r="B57" s="10" t="s">
        <v>62</v>
      </c>
      <c r="C57" s="10">
        <v>1997</v>
      </c>
      <c r="D57" s="10" t="s">
        <v>0</v>
      </c>
      <c r="E57" s="10">
        <v>26</v>
      </c>
      <c r="F57" s="10">
        <v>44</v>
      </c>
      <c r="G57" s="10">
        <v>30</v>
      </c>
      <c r="H57" s="10">
        <v>74</v>
      </c>
      <c r="I57" s="10" t="s">
        <v>0</v>
      </c>
      <c r="J57" s="11">
        <v>26</v>
      </c>
    </row>
    <row r="58" spans="1:10" ht="15" thickBot="1" x14ac:dyDescent="0.4">
      <c r="A58" s="7"/>
      <c r="B58" s="12"/>
      <c r="C58" s="12"/>
      <c r="D58" s="12"/>
      <c r="E58" s="12"/>
      <c r="F58" s="12"/>
      <c r="G58" s="12"/>
      <c r="H58" s="8"/>
      <c r="I58" s="12"/>
      <c r="J58" s="13"/>
    </row>
  </sheetData>
  <mergeCells count="16">
    <mergeCell ref="B7:J7"/>
    <mergeCell ref="A1:J2"/>
    <mergeCell ref="A3:J3"/>
    <mergeCell ref="A4:J4"/>
    <mergeCell ref="B5:J5"/>
    <mergeCell ref="B6:J6"/>
    <mergeCell ref="B8:J8"/>
    <mergeCell ref="B9:J9"/>
    <mergeCell ref="B10:J10"/>
    <mergeCell ref="B11:J11"/>
    <mergeCell ref="B13:B14"/>
    <mergeCell ref="C13:C14"/>
    <mergeCell ref="D13:D14"/>
    <mergeCell ref="E13:E14"/>
    <mergeCell ref="F13:H13"/>
    <mergeCell ref="I13:I14"/>
  </mergeCells>
  <pageMargins left="0.7" right="0.7" top="0.75" bottom="0.75" header="0.3" footer="0.3"/>
  <pageSetup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574D2-C647-4F45-9873-45B3A973903E}">
  <sheetPr>
    <tabColor rgb="FFFFFF00"/>
  </sheetPr>
  <dimension ref="A1:J20"/>
  <sheetViews>
    <sheetView zoomScale="130" zoomScaleNormal="130" workbookViewId="0">
      <selection activeCell="A4" sqref="A4:K4"/>
    </sheetView>
  </sheetViews>
  <sheetFormatPr defaultColWidth="9.1796875" defaultRowHeight="14.5" x14ac:dyDescent="0.35"/>
  <cols>
    <col min="1" max="1" width="20.1796875" bestFit="1" customWidth="1"/>
    <col min="2" max="2" width="14.26953125" style="1" bestFit="1" customWidth="1"/>
    <col min="3" max="3" width="8.1796875" style="1" customWidth="1"/>
    <col min="4" max="4" width="10.54296875" style="1" customWidth="1"/>
    <col min="5" max="5" width="9.54296875" style="1" customWidth="1"/>
    <col min="6" max="6" width="12.1796875" style="1" customWidth="1"/>
    <col min="7" max="7" width="12.54296875" style="1" customWidth="1"/>
    <col min="8" max="8" width="8.81640625" style="1" bestFit="1" customWidth="1"/>
    <col min="9" max="9" width="14.1796875" style="1" customWidth="1"/>
    <col min="10" max="10" width="7" style="1" bestFit="1" customWidth="1"/>
  </cols>
  <sheetData>
    <row r="1" spans="1:10" x14ac:dyDescent="0.35">
      <c r="A1" s="66" t="s">
        <v>16</v>
      </c>
      <c r="B1" s="67"/>
      <c r="C1" s="67"/>
      <c r="D1" s="67"/>
      <c r="E1" s="67"/>
      <c r="F1" s="67"/>
      <c r="G1" s="67"/>
      <c r="H1" s="67"/>
      <c r="I1" s="67"/>
      <c r="J1" s="68"/>
    </row>
    <row r="2" spans="1:10" x14ac:dyDescent="0.35">
      <c r="A2" s="69"/>
      <c r="B2" s="70"/>
      <c r="C2" s="70"/>
      <c r="D2" s="70"/>
      <c r="E2" s="70"/>
      <c r="F2" s="70"/>
      <c r="G2" s="70"/>
      <c r="H2" s="70"/>
      <c r="I2" s="70"/>
      <c r="J2" s="71"/>
    </row>
    <row r="3" spans="1:10" x14ac:dyDescent="0.35">
      <c r="A3" s="72" t="s">
        <v>136</v>
      </c>
      <c r="B3" s="73"/>
      <c r="C3" s="73"/>
      <c r="D3" s="73"/>
      <c r="E3" s="73"/>
      <c r="F3" s="73"/>
      <c r="G3" s="73"/>
      <c r="H3" s="73"/>
      <c r="I3" s="73"/>
      <c r="J3" s="74"/>
    </row>
    <row r="4" spans="1:10" x14ac:dyDescent="0.35">
      <c r="A4" s="81"/>
      <c r="B4" s="76"/>
      <c r="C4" s="76"/>
      <c r="D4" s="76"/>
      <c r="E4" s="76"/>
      <c r="F4" s="76"/>
      <c r="G4" s="76"/>
      <c r="H4" s="76"/>
      <c r="I4" s="76"/>
      <c r="J4" s="77"/>
    </row>
    <row r="5" spans="1:10" x14ac:dyDescent="0.35">
      <c r="A5" s="2" t="s">
        <v>11</v>
      </c>
      <c r="B5" s="73">
        <v>850</v>
      </c>
      <c r="C5" s="73"/>
      <c r="D5" s="73"/>
      <c r="E5" s="73"/>
      <c r="F5" s="73"/>
      <c r="G5" s="73"/>
      <c r="H5" s="73"/>
      <c r="I5" s="73"/>
      <c r="J5" s="74"/>
    </row>
    <row r="6" spans="1:10" x14ac:dyDescent="0.35">
      <c r="A6" s="3" t="s">
        <v>12</v>
      </c>
      <c r="B6" s="73" t="s">
        <v>46</v>
      </c>
      <c r="C6" s="73"/>
      <c r="D6" s="73"/>
      <c r="E6" s="73"/>
      <c r="F6" s="73"/>
      <c r="G6" s="73"/>
      <c r="H6" s="73"/>
      <c r="I6" s="73"/>
      <c r="J6" s="74"/>
    </row>
    <row r="7" spans="1:10" x14ac:dyDescent="0.35">
      <c r="A7" s="3" t="s">
        <v>13</v>
      </c>
      <c r="B7" s="73" t="s">
        <v>14</v>
      </c>
      <c r="C7" s="73"/>
      <c r="D7" s="73"/>
      <c r="E7" s="73"/>
      <c r="F7" s="73"/>
      <c r="G7" s="73"/>
      <c r="H7" s="73"/>
      <c r="I7" s="73"/>
      <c r="J7" s="74"/>
    </row>
    <row r="8" spans="1:10" x14ac:dyDescent="0.35">
      <c r="A8" s="3" t="s">
        <v>1</v>
      </c>
      <c r="B8" s="73" t="s">
        <v>7</v>
      </c>
      <c r="C8" s="73"/>
      <c r="D8" s="73"/>
      <c r="E8" s="73"/>
      <c r="F8" s="73"/>
      <c r="G8" s="73"/>
      <c r="H8" s="73"/>
      <c r="I8" s="73"/>
      <c r="J8" s="74"/>
    </row>
    <row r="9" spans="1:10" x14ac:dyDescent="0.35">
      <c r="A9" s="3" t="s">
        <v>15</v>
      </c>
      <c r="B9" s="73">
        <v>5</v>
      </c>
      <c r="C9" s="73"/>
      <c r="D9" s="73"/>
      <c r="E9" s="73"/>
      <c r="F9" s="73"/>
      <c r="G9" s="73"/>
      <c r="H9" s="73"/>
      <c r="I9" s="73"/>
      <c r="J9" s="74"/>
    </row>
    <row r="10" spans="1:10" x14ac:dyDescent="0.35">
      <c r="A10" s="9" t="s">
        <v>18</v>
      </c>
      <c r="B10" s="88">
        <v>0.19</v>
      </c>
      <c r="C10" s="88"/>
      <c r="D10" s="88"/>
      <c r="E10" s="88"/>
      <c r="F10" s="88"/>
      <c r="G10" s="88"/>
      <c r="H10" s="88"/>
      <c r="I10" s="89"/>
      <c r="J10" s="90"/>
    </row>
    <row r="11" spans="1:10" x14ac:dyDescent="0.35">
      <c r="A11" s="4"/>
      <c r="B11" s="75" t="s">
        <v>21</v>
      </c>
      <c r="C11" s="76"/>
      <c r="D11" s="76"/>
      <c r="E11" s="76"/>
      <c r="F11" s="76"/>
      <c r="G11" s="76"/>
      <c r="H11" s="76"/>
      <c r="I11" s="76"/>
      <c r="J11" s="77"/>
    </row>
    <row r="12" spans="1:10" x14ac:dyDescent="0.35">
      <c r="A12" s="4"/>
      <c r="B12" s="14"/>
      <c r="C12" s="15"/>
      <c r="D12" s="15"/>
      <c r="F12" s="15"/>
      <c r="G12" s="15"/>
      <c r="H12" s="15"/>
      <c r="I12" s="18"/>
      <c r="J12" s="16"/>
    </row>
    <row r="13" spans="1:10" ht="15" customHeight="1" x14ac:dyDescent="0.35">
      <c r="A13" s="4"/>
      <c r="B13" s="91" t="s">
        <v>24</v>
      </c>
      <c r="C13" s="91" t="s">
        <v>19</v>
      </c>
      <c r="D13" s="91" t="s">
        <v>20</v>
      </c>
      <c r="E13" s="91" t="s">
        <v>2</v>
      </c>
      <c r="F13" s="76" t="s">
        <v>22</v>
      </c>
      <c r="G13" s="76"/>
      <c r="H13" s="76"/>
      <c r="I13" s="91" t="s">
        <v>70</v>
      </c>
      <c r="J13" s="16"/>
    </row>
    <row r="14" spans="1:10" x14ac:dyDescent="0.35">
      <c r="A14" s="17" t="s">
        <v>9</v>
      </c>
      <c r="B14" s="91"/>
      <c r="C14" s="91"/>
      <c r="D14" s="91"/>
      <c r="E14" s="91"/>
      <c r="F14" s="22" t="s">
        <v>25</v>
      </c>
      <c r="G14" s="5" t="s">
        <v>26</v>
      </c>
      <c r="H14" s="14" t="s">
        <v>23</v>
      </c>
      <c r="I14" s="91"/>
      <c r="J14" s="16" t="s">
        <v>3</v>
      </c>
    </row>
    <row r="15" spans="1:10" x14ac:dyDescent="0.35">
      <c r="A15" s="17">
        <v>81</v>
      </c>
      <c r="B15" s="10" t="s">
        <v>62</v>
      </c>
      <c r="C15" s="10">
        <v>1997</v>
      </c>
      <c r="D15" s="10" t="s">
        <v>0</v>
      </c>
      <c r="E15" s="10">
        <v>22</v>
      </c>
      <c r="F15" s="10">
        <v>59</v>
      </c>
      <c r="G15" s="10">
        <v>19</v>
      </c>
      <c r="H15" s="10">
        <v>78</v>
      </c>
      <c r="I15" s="10" t="s">
        <v>0</v>
      </c>
      <c r="J15" s="11">
        <v>26</v>
      </c>
    </row>
    <row r="16" spans="1:10" x14ac:dyDescent="0.35">
      <c r="A16" s="17">
        <v>87.4</v>
      </c>
      <c r="B16" s="10" t="s">
        <v>62</v>
      </c>
      <c r="C16" s="10">
        <v>1997</v>
      </c>
      <c r="D16" s="10" t="s">
        <v>0</v>
      </c>
      <c r="E16" s="10">
        <v>13</v>
      </c>
      <c r="F16" s="10">
        <v>85</v>
      </c>
      <c r="G16" s="10">
        <v>2</v>
      </c>
      <c r="H16" s="10">
        <v>87</v>
      </c>
      <c r="I16" s="10" t="s">
        <v>0</v>
      </c>
      <c r="J16" s="11">
        <v>26</v>
      </c>
    </row>
    <row r="17" spans="1:10" x14ac:dyDescent="0.35">
      <c r="A17" s="17">
        <v>89.8</v>
      </c>
      <c r="B17" s="10" t="s">
        <v>62</v>
      </c>
      <c r="C17" s="10">
        <v>1997</v>
      </c>
      <c r="D17" s="10" t="s">
        <v>0</v>
      </c>
      <c r="E17" s="10">
        <v>17</v>
      </c>
      <c r="F17" s="10">
        <v>71</v>
      </c>
      <c r="G17" s="10">
        <v>12</v>
      </c>
      <c r="H17" s="10">
        <v>83</v>
      </c>
      <c r="I17" s="10" t="s">
        <v>0</v>
      </c>
      <c r="J17" s="11">
        <v>26</v>
      </c>
    </row>
    <row r="18" spans="1:10" x14ac:dyDescent="0.35">
      <c r="A18" s="17">
        <v>105.3</v>
      </c>
      <c r="B18" s="10" t="s">
        <v>62</v>
      </c>
      <c r="C18" s="10">
        <v>1997</v>
      </c>
      <c r="D18" s="10" t="s">
        <v>0</v>
      </c>
      <c r="E18" s="10">
        <v>21</v>
      </c>
      <c r="F18" s="10">
        <v>73</v>
      </c>
      <c r="G18" s="10">
        <v>6</v>
      </c>
      <c r="H18" s="10">
        <v>79</v>
      </c>
      <c r="I18" s="10" t="s">
        <v>0</v>
      </c>
      <c r="J18" s="11">
        <v>26</v>
      </c>
    </row>
    <row r="19" spans="1:10" x14ac:dyDescent="0.35">
      <c r="A19" s="17">
        <v>123.5</v>
      </c>
      <c r="B19" s="10" t="s">
        <v>62</v>
      </c>
      <c r="C19" s="10">
        <v>1997</v>
      </c>
      <c r="D19" s="10" t="s">
        <v>0</v>
      </c>
      <c r="E19" s="10">
        <v>20</v>
      </c>
      <c r="F19" s="10">
        <v>63</v>
      </c>
      <c r="G19" s="10">
        <v>17</v>
      </c>
      <c r="H19" s="10">
        <v>80</v>
      </c>
      <c r="I19" s="10" t="s">
        <v>0</v>
      </c>
      <c r="J19" s="11">
        <v>26</v>
      </c>
    </row>
    <row r="20" spans="1:10" ht="15" thickBot="1" x14ac:dyDescent="0.4">
      <c r="A20" s="7"/>
      <c r="B20" s="12"/>
      <c r="C20" s="8"/>
      <c r="D20" s="8"/>
      <c r="E20" s="12"/>
      <c r="F20" s="8"/>
      <c r="G20" s="8"/>
      <c r="H20" s="8"/>
      <c r="I20" s="12"/>
      <c r="J20" s="13"/>
    </row>
  </sheetData>
  <mergeCells count="16">
    <mergeCell ref="B7:J7"/>
    <mergeCell ref="A1:J2"/>
    <mergeCell ref="A3:J3"/>
    <mergeCell ref="A4:J4"/>
    <mergeCell ref="B5:J5"/>
    <mergeCell ref="B6:J6"/>
    <mergeCell ref="B8:J8"/>
    <mergeCell ref="B9:J9"/>
    <mergeCell ref="B10:J10"/>
    <mergeCell ref="B11:J11"/>
    <mergeCell ref="B13:B14"/>
    <mergeCell ref="C13:C14"/>
    <mergeCell ref="D13:D14"/>
    <mergeCell ref="E13:E14"/>
    <mergeCell ref="F13:H13"/>
    <mergeCell ref="I13:I14"/>
  </mergeCells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74C2B-C445-4466-AF84-F0AE81B75762}">
  <sheetPr>
    <tabColor rgb="FFFFFF00"/>
  </sheetPr>
  <dimension ref="A1:J20"/>
  <sheetViews>
    <sheetView zoomScale="130" zoomScaleNormal="130" workbookViewId="0">
      <selection activeCell="B9" sqref="B9:J9"/>
    </sheetView>
  </sheetViews>
  <sheetFormatPr defaultColWidth="9.1796875" defaultRowHeight="14.5" x14ac:dyDescent="0.35"/>
  <cols>
    <col min="1" max="1" width="20.1796875" bestFit="1" customWidth="1"/>
    <col min="2" max="2" width="14.26953125" style="1" bestFit="1" customWidth="1"/>
    <col min="3" max="3" width="8.1796875" style="1" customWidth="1"/>
    <col min="4" max="4" width="10.54296875" style="1" customWidth="1"/>
    <col min="5" max="5" width="9.54296875" style="1" customWidth="1"/>
    <col min="6" max="6" width="12.1796875" style="1" customWidth="1"/>
    <col min="7" max="7" width="12.54296875" style="1" customWidth="1"/>
    <col min="8" max="8" width="8.81640625" style="1" bestFit="1" customWidth="1"/>
    <col min="9" max="9" width="14.1796875" style="1" customWidth="1"/>
    <col min="10" max="10" width="7" style="1" bestFit="1" customWidth="1"/>
  </cols>
  <sheetData>
    <row r="1" spans="1:10" x14ac:dyDescent="0.35">
      <c r="A1" s="66" t="s">
        <v>16</v>
      </c>
      <c r="B1" s="67"/>
      <c r="C1" s="67"/>
      <c r="D1" s="67"/>
      <c r="E1" s="67"/>
      <c r="F1" s="67"/>
      <c r="G1" s="67"/>
      <c r="H1" s="67"/>
      <c r="I1" s="67"/>
      <c r="J1" s="68"/>
    </row>
    <row r="2" spans="1:10" x14ac:dyDescent="0.35">
      <c r="A2" s="69"/>
      <c r="B2" s="70"/>
      <c r="C2" s="70"/>
      <c r="D2" s="70"/>
      <c r="E2" s="70"/>
      <c r="F2" s="70"/>
      <c r="G2" s="70"/>
      <c r="H2" s="70"/>
      <c r="I2" s="70"/>
      <c r="J2" s="71"/>
    </row>
    <row r="3" spans="1:10" x14ac:dyDescent="0.35">
      <c r="A3" s="72" t="s">
        <v>136</v>
      </c>
      <c r="B3" s="73"/>
      <c r="C3" s="73"/>
      <c r="D3" s="73"/>
      <c r="E3" s="73"/>
      <c r="F3" s="73"/>
      <c r="G3" s="73"/>
      <c r="H3" s="73"/>
      <c r="I3" s="73"/>
      <c r="J3" s="74"/>
    </row>
    <row r="4" spans="1:10" x14ac:dyDescent="0.35">
      <c r="A4" s="81"/>
      <c r="B4" s="76"/>
      <c r="C4" s="76"/>
      <c r="D4" s="76"/>
      <c r="E4" s="76"/>
      <c r="F4" s="76"/>
      <c r="G4" s="76"/>
      <c r="H4" s="76"/>
      <c r="I4" s="76"/>
      <c r="J4" s="77"/>
    </row>
    <row r="5" spans="1:10" x14ac:dyDescent="0.35">
      <c r="A5" s="2" t="s">
        <v>11</v>
      </c>
      <c r="B5" s="73">
        <v>857</v>
      </c>
      <c r="C5" s="73"/>
      <c r="D5" s="73"/>
      <c r="E5" s="73"/>
      <c r="F5" s="73"/>
      <c r="G5" s="73"/>
      <c r="H5" s="73"/>
      <c r="I5" s="73"/>
      <c r="J5" s="74"/>
    </row>
    <row r="6" spans="1:10" x14ac:dyDescent="0.35">
      <c r="A6" s="3" t="s">
        <v>12</v>
      </c>
      <c r="B6" s="73" t="s">
        <v>47</v>
      </c>
      <c r="C6" s="73"/>
      <c r="D6" s="73"/>
      <c r="E6" s="73"/>
      <c r="F6" s="73"/>
      <c r="G6" s="73"/>
      <c r="H6" s="73"/>
      <c r="I6" s="73"/>
      <c r="J6" s="74"/>
    </row>
    <row r="7" spans="1:10" x14ac:dyDescent="0.35">
      <c r="A7" s="3" t="s">
        <v>13</v>
      </c>
      <c r="B7" s="73" t="s">
        <v>14</v>
      </c>
      <c r="C7" s="73"/>
      <c r="D7" s="73"/>
      <c r="E7" s="73"/>
      <c r="F7" s="73"/>
      <c r="G7" s="73"/>
      <c r="H7" s="73"/>
      <c r="I7" s="73"/>
      <c r="J7" s="74"/>
    </row>
    <row r="8" spans="1:10" x14ac:dyDescent="0.35">
      <c r="A8" s="3" t="s">
        <v>1</v>
      </c>
      <c r="B8" s="73" t="s">
        <v>17</v>
      </c>
      <c r="C8" s="73"/>
      <c r="D8" s="73"/>
      <c r="E8" s="73"/>
      <c r="F8" s="73"/>
      <c r="G8" s="73"/>
      <c r="H8" s="73"/>
      <c r="I8" s="73"/>
      <c r="J8" s="74"/>
    </row>
    <row r="9" spans="1:10" x14ac:dyDescent="0.35">
      <c r="A9" s="3" t="s">
        <v>15</v>
      </c>
      <c r="B9" s="73">
        <v>5</v>
      </c>
      <c r="C9" s="73"/>
      <c r="D9" s="73"/>
      <c r="E9" s="73"/>
      <c r="F9" s="73"/>
      <c r="G9" s="73"/>
      <c r="H9" s="73"/>
      <c r="I9" s="73"/>
      <c r="J9" s="74"/>
    </row>
    <row r="10" spans="1:10" x14ac:dyDescent="0.35">
      <c r="A10" s="9" t="s">
        <v>18</v>
      </c>
      <c r="B10" s="88">
        <v>0.34</v>
      </c>
      <c r="C10" s="88"/>
      <c r="D10" s="88"/>
      <c r="E10" s="88"/>
      <c r="F10" s="88"/>
      <c r="G10" s="88"/>
      <c r="H10" s="88"/>
      <c r="I10" s="89"/>
      <c r="J10" s="90"/>
    </row>
    <row r="11" spans="1:10" x14ac:dyDescent="0.35">
      <c r="A11" s="4"/>
      <c r="B11" s="75" t="s">
        <v>21</v>
      </c>
      <c r="C11" s="76"/>
      <c r="D11" s="76"/>
      <c r="E11" s="76"/>
      <c r="F11" s="76"/>
      <c r="G11" s="76"/>
      <c r="H11" s="76"/>
      <c r="I11" s="76"/>
      <c r="J11" s="77"/>
    </row>
    <row r="12" spans="1:10" x14ac:dyDescent="0.35">
      <c r="A12" s="4"/>
      <c r="B12" s="14"/>
      <c r="C12" s="15"/>
      <c r="D12" s="15"/>
      <c r="F12" s="15"/>
      <c r="G12" s="15"/>
      <c r="H12" s="15"/>
      <c r="I12" s="18"/>
      <c r="J12" s="16"/>
    </row>
    <row r="13" spans="1:10" ht="15" customHeight="1" x14ac:dyDescent="0.35">
      <c r="A13" s="4"/>
      <c r="B13" s="91" t="s">
        <v>24</v>
      </c>
      <c r="C13" s="91" t="s">
        <v>19</v>
      </c>
      <c r="D13" s="91" t="s">
        <v>20</v>
      </c>
      <c r="E13" s="91" t="s">
        <v>2</v>
      </c>
      <c r="F13" s="76" t="s">
        <v>22</v>
      </c>
      <c r="G13" s="76"/>
      <c r="H13" s="76"/>
      <c r="I13" s="91" t="s">
        <v>70</v>
      </c>
      <c r="J13" s="16"/>
    </row>
    <row r="14" spans="1:10" x14ac:dyDescent="0.35">
      <c r="A14" s="17" t="s">
        <v>9</v>
      </c>
      <c r="B14" s="91"/>
      <c r="C14" s="91"/>
      <c r="D14" s="91"/>
      <c r="E14" s="91"/>
      <c r="F14" s="22" t="s">
        <v>25</v>
      </c>
      <c r="G14" s="5" t="s">
        <v>26</v>
      </c>
      <c r="H14" s="14" t="s">
        <v>23</v>
      </c>
      <c r="I14" s="91"/>
      <c r="J14" s="16" t="s">
        <v>3</v>
      </c>
    </row>
    <row r="15" spans="1:10" x14ac:dyDescent="0.35">
      <c r="A15" s="17">
        <v>137</v>
      </c>
      <c r="B15" s="10" t="s">
        <v>35</v>
      </c>
      <c r="C15" s="10">
        <v>2009</v>
      </c>
      <c r="D15" s="10">
        <v>160</v>
      </c>
      <c r="E15" s="10">
        <v>19</v>
      </c>
      <c r="F15" s="10" t="s">
        <v>0</v>
      </c>
      <c r="G15" s="10" t="s">
        <v>0</v>
      </c>
      <c r="H15" s="10">
        <v>81</v>
      </c>
      <c r="I15" s="10" t="s">
        <v>0</v>
      </c>
      <c r="J15" s="11">
        <v>19</v>
      </c>
    </row>
    <row r="16" spans="1:10" x14ac:dyDescent="0.35">
      <c r="A16" s="17">
        <v>149</v>
      </c>
      <c r="B16" s="10" t="s">
        <v>35</v>
      </c>
      <c r="C16" s="10">
        <v>2009</v>
      </c>
      <c r="D16" s="10">
        <v>228</v>
      </c>
      <c r="E16" s="10">
        <v>27</v>
      </c>
      <c r="F16" s="10" t="s">
        <v>0</v>
      </c>
      <c r="G16" s="10" t="s">
        <v>0</v>
      </c>
      <c r="H16" s="10">
        <v>73</v>
      </c>
      <c r="I16" s="10" t="s">
        <v>0</v>
      </c>
      <c r="J16" s="11">
        <v>19</v>
      </c>
    </row>
    <row r="17" spans="1:10" x14ac:dyDescent="0.35">
      <c r="A17" s="17">
        <v>149</v>
      </c>
      <c r="B17" s="10" t="s">
        <v>35</v>
      </c>
      <c r="C17" s="10">
        <v>2009</v>
      </c>
      <c r="D17" s="10">
        <v>147</v>
      </c>
      <c r="E17" s="10">
        <v>15</v>
      </c>
      <c r="F17" s="10" t="s">
        <v>0</v>
      </c>
      <c r="G17" s="10" t="s">
        <v>0</v>
      </c>
      <c r="H17" s="10">
        <v>85</v>
      </c>
      <c r="I17" s="10" t="s">
        <v>0</v>
      </c>
      <c r="J17" s="11">
        <v>19</v>
      </c>
    </row>
    <row r="18" spans="1:10" x14ac:dyDescent="0.35">
      <c r="A18" s="17">
        <v>149</v>
      </c>
      <c r="B18" s="10" t="s">
        <v>35</v>
      </c>
      <c r="C18" s="10">
        <v>2009</v>
      </c>
      <c r="D18" s="10">
        <v>218</v>
      </c>
      <c r="E18" s="10">
        <v>43</v>
      </c>
      <c r="F18" s="10" t="s">
        <v>0</v>
      </c>
      <c r="G18" s="10" t="s">
        <v>0</v>
      </c>
      <c r="H18" s="10">
        <v>57</v>
      </c>
      <c r="I18" s="10" t="s">
        <v>0</v>
      </c>
      <c r="J18" s="11">
        <v>19</v>
      </c>
    </row>
    <row r="19" spans="1:10" x14ac:dyDescent="0.35">
      <c r="A19" s="17">
        <v>149</v>
      </c>
      <c r="B19" s="10" t="s">
        <v>63</v>
      </c>
      <c r="C19" s="10">
        <v>2010</v>
      </c>
      <c r="D19" s="10">
        <v>255</v>
      </c>
      <c r="E19" s="10">
        <v>66</v>
      </c>
      <c r="F19" s="10" t="s">
        <v>0</v>
      </c>
      <c r="G19" s="10" t="s">
        <v>0</v>
      </c>
      <c r="H19" s="10">
        <v>34</v>
      </c>
      <c r="I19" s="10" t="s">
        <v>0</v>
      </c>
      <c r="J19" s="11">
        <v>19</v>
      </c>
    </row>
    <row r="20" spans="1:10" ht="15" thickBot="1" x14ac:dyDescent="0.4">
      <c r="A20" s="7"/>
      <c r="B20" s="12"/>
      <c r="C20" s="8"/>
      <c r="D20" s="8"/>
      <c r="E20" s="12"/>
      <c r="F20" s="8"/>
      <c r="G20" s="8"/>
      <c r="H20" s="8"/>
      <c r="I20" s="12"/>
      <c r="J20" s="13"/>
    </row>
  </sheetData>
  <mergeCells count="16">
    <mergeCell ref="B7:J7"/>
    <mergeCell ref="A1:J2"/>
    <mergeCell ref="A3:J3"/>
    <mergeCell ref="A4:J4"/>
    <mergeCell ref="B5:J5"/>
    <mergeCell ref="B6:J6"/>
    <mergeCell ref="B8:J8"/>
    <mergeCell ref="B9:J9"/>
    <mergeCell ref="B10:J10"/>
    <mergeCell ref="B11:J11"/>
    <mergeCell ref="B13:B14"/>
    <mergeCell ref="C13:C14"/>
    <mergeCell ref="D13:D14"/>
    <mergeCell ref="E13:E14"/>
    <mergeCell ref="F13:H13"/>
    <mergeCell ref="I13:I14"/>
  </mergeCells>
  <pageMargins left="0.7" right="0.7" top="0.75" bottom="0.75" header="0.3" footer="0.3"/>
  <pageSetup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1CB60-5BE4-4F25-AF46-685E4C1FDE4C}">
  <sheetPr>
    <tabColor rgb="FFFFFF00"/>
  </sheetPr>
  <dimension ref="A1:J20"/>
  <sheetViews>
    <sheetView zoomScale="130" zoomScaleNormal="130" workbookViewId="0">
      <selection activeCell="B9" sqref="B9:J9"/>
    </sheetView>
  </sheetViews>
  <sheetFormatPr defaultColWidth="9.1796875" defaultRowHeight="14.5" x14ac:dyDescent="0.35"/>
  <cols>
    <col min="1" max="1" width="20.1796875" bestFit="1" customWidth="1"/>
    <col min="2" max="2" width="14.26953125" style="1" bestFit="1" customWidth="1"/>
    <col min="3" max="3" width="8.1796875" style="1" customWidth="1"/>
    <col min="4" max="4" width="10.54296875" style="1" customWidth="1"/>
    <col min="5" max="5" width="9.54296875" style="1" customWidth="1"/>
    <col min="6" max="6" width="12.1796875" style="1" customWidth="1"/>
    <col min="7" max="7" width="12.54296875" style="1" customWidth="1"/>
    <col min="8" max="8" width="8.81640625" style="1" bestFit="1" customWidth="1"/>
    <col min="9" max="9" width="14.1796875" style="1" customWidth="1"/>
    <col min="10" max="10" width="7" style="1" bestFit="1" customWidth="1"/>
  </cols>
  <sheetData>
    <row r="1" spans="1:10" x14ac:dyDescent="0.35">
      <c r="A1" s="66" t="s">
        <v>16</v>
      </c>
      <c r="B1" s="67"/>
      <c r="C1" s="67"/>
      <c r="D1" s="67"/>
      <c r="E1" s="67"/>
      <c r="F1" s="67"/>
      <c r="G1" s="67"/>
      <c r="H1" s="67"/>
      <c r="I1" s="67"/>
      <c r="J1" s="68"/>
    </row>
    <row r="2" spans="1:10" x14ac:dyDescent="0.35">
      <c r="A2" s="69"/>
      <c r="B2" s="70"/>
      <c r="C2" s="70"/>
      <c r="D2" s="70"/>
      <c r="E2" s="70"/>
      <c r="F2" s="70"/>
      <c r="G2" s="70"/>
      <c r="H2" s="70"/>
      <c r="I2" s="70"/>
      <c r="J2" s="71"/>
    </row>
    <row r="3" spans="1:10" x14ac:dyDescent="0.35">
      <c r="A3" s="72" t="s">
        <v>136</v>
      </c>
      <c r="B3" s="73"/>
      <c r="C3" s="73"/>
      <c r="D3" s="73"/>
      <c r="E3" s="73"/>
      <c r="F3" s="73"/>
      <c r="G3" s="73"/>
      <c r="H3" s="73"/>
      <c r="I3" s="73"/>
      <c r="J3" s="74"/>
    </row>
    <row r="4" spans="1:10" x14ac:dyDescent="0.35">
      <c r="A4" s="81"/>
      <c r="B4" s="76"/>
      <c r="C4" s="76"/>
      <c r="D4" s="76"/>
      <c r="E4" s="76"/>
      <c r="F4" s="76"/>
      <c r="G4" s="76"/>
      <c r="H4" s="76"/>
      <c r="I4" s="76"/>
      <c r="J4" s="77"/>
    </row>
    <row r="5" spans="1:10" x14ac:dyDescent="0.35">
      <c r="A5" s="2" t="s">
        <v>11</v>
      </c>
      <c r="B5" s="73">
        <v>857</v>
      </c>
      <c r="C5" s="73"/>
      <c r="D5" s="73"/>
      <c r="E5" s="73"/>
      <c r="F5" s="73"/>
      <c r="G5" s="73"/>
      <c r="H5" s="73"/>
      <c r="I5" s="73"/>
      <c r="J5" s="74"/>
    </row>
    <row r="6" spans="1:10" x14ac:dyDescent="0.35">
      <c r="A6" s="3" t="s">
        <v>12</v>
      </c>
      <c r="B6" s="73" t="s">
        <v>47</v>
      </c>
      <c r="C6" s="73"/>
      <c r="D6" s="73"/>
      <c r="E6" s="73"/>
      <c r="F6" s="73"/>
      <c r="G6" s="73"/>
      <c r="H6" s="73"/>
      <c r="I6" s="73"/>
      <c r="J6" s="74"/>
    </row>
    <row r="7" spans="1:10" x14ac:dyDescent="0.35">
      <c r="A7" s="3" t="s">
        <v>13</v>
      </c>
      <c r="B7" s="73" t="s">
        <v>14</v>
      </c>
      <c r="C7" s="73"/>
      <c r="D7" s="73"/>
      <c r="E7" s="73"/>
      <c r="F7" s="73"/>
      <c r="G7" s="73"/>
      <c r="H7" s="73"/>
      <c r="I7" s="73"/>
      <c r="J7" s="74"/>
    </row>
    <row r="8" spans="1:10" x14ac:dyDescent="0.35">
      <c r="A8" s="3" t="s">
        <v>1</v>
      </c>
      <c r="B8" s="73" t="s">
        <v>7</v>
      </c>
      <c r="C8" s="73"/>
      <c r="D8" s="73"/>
      <c r="E8" s="73"/>
      <c r="F8" s="73"/>
      <c r="G8" s="73"/>
      <c r="H8" s="73"/>
      <c r="I8" s="73"/>
      <c r="J8" s="74"/>
    </row>
    <row r="9" spans="1:10" x14ac:dyDescent="0.35">
      <c r="A9" s="3" t="s">
        <v>15</v>
      </c>
      <c r="B9" s="73">
        <v>5</v>
      </c>
      <c r="C9" s="73"/>
      <c r="D9" s="73"/>
      <c r="E9" s="73"/>
      <c r="F9" s="73"/>
      <c r="G9" s="73"/>
      <c r="H9" s="73"/>
      <c r="I9" s="73"/>
      <c r="J9" s="74"/>
    </row>
    <row r="10" spans="1:10" x14ac:dyDescent="0.35">
      <c r="A10" s="9" t="s">
        <v>18</v>
      </c>
      <c r="B10" s="88">
        <v>0.25</v>
      </c>
      <c r="C10" s="88"/>
      <c r="D10" s="88"/>
      <c r="E10" s="88"/>
      <c r="F10" s="88"/>
      <c r="G10" s="88"/>
      <c r="H10" s="88"/>
      <c r="I10" s="89"/>
      <c r="J10" s="90"/>
    </row>
    <row r="11" spans="1:10" x14ac:dyDescent="0.35">
      <c r="A11" s="4"/>
      <c r="B11" s="75" t="s">
        <v>21</v>
      </c>
      <c r="C11" s="76"/>
      <c r="D11" s="76"/>
      <c r="E11" s="76"/>
      <c r="F11" s="76"/>
      <c r="G11" s="76"/>
      <c r="H11" s="76"/>
      <c r="I11" s="76"/>
      <c r="J11" s="77"/>
    </row>
    <row r="12" spans="1:10" x14ac:dyDescent="0.35">
      <c r="A12" s="4"/>
      <c r="B12" s="14"/>
      <c r="C12" s="15"/>
      <c r="D12" s="15"/>
      <c r="F12" s="15"/>
      <c r="G12" s="15"/>
      <c r="H12" s="15"/>
      <c r="I12" s="18"/>
      <c r="J12" s="16"/>
    </row>
    <row r="13" spans="1:10" ht="15" customHeight="1" x14ac:dyDescent="0.35">
      <c r="A13" s="4"/>
      <c r="B13" s="91" t="s">
        <v>24</v>
      </c>
      <c r="C13" s="91" t="s">
        <v>19</v>
      </c>
      <c r="D13" s="91" t="s">
        <v>20</v>
      </c>
      <c r="E13" s="91" t="s">
        <v>2</v>
      </c>
      <c r="F13" s="76" t="s">
        <v>22</v>
      </c>
      <c r="G13" s="76"/>
      <c r="H13" s="76"/>
      <c r="I13" s="91" t="s">
        <v>70</v>
      </c>
      <c r="J13" s="16"/>
    </row>
    <row r="14" spans="1:10" x14ac:dyDescent="0.35">
      <c r="A14" s="17" t="s">
        <v>9</v>
      </c>
      <c r="B14" s="91"/>
      <c r="C14" s="91"/>
      <c r="D14" s="91"/>
      <c r="E14" s="91"/>
      <c r="F14" s="22" t="s">
        <v>25</v>
      </c>
      <c r="G14" s="5" t="s">
        <v>26</v>
      </c>
      <c r="H14" s="14" t="s">
        <v>23</v>
      </c>
      <c r="I14" s="91"/>
      <c r="J14" s="16" t="s">
        <v>3</v>
      </c>
    </row>
    <row r="15" spans="1:10" x14ac:dyDescent="0.35">
      <c r="A15" s="17">
        <v>137</v>
      </c>
      <c r="B15" s="10" t="s">
        <v>35</v>
      </c>
      <c r="C15" s="10">
        <v>2009</v>
      </c>
      <c r="D15" s="10">
        <v>462</v>
      </c>
      <c r="E15" s="10">
        <v>18</v>
      </c>
      <c r="F15" s="10" t="s">
        <v>0</v>
      </c>
      <c r="G15" s="10" t="s">
        <v>0</v>
      </c>
      <c r="H15" s="10">
        <v>82</v>
      </c>
      <c r="I15" s="10" t="s">
        <v>0</v>
      </c>
      <c r="J15" s="11">
        <v>19</v>
      </c>
    </row>
    <row r="16" spans="1:10" x14ac:dyDescent="0.35">
      <c r="A16" s="17">
        <v>149</v>
      </c>
      <c r="B16" s="10" t="s">
        <v>35</v>
      </c>
      <c r="C16" s="10">
        <v>2009</v>
      </c>
      <c r="D16" s="10">
        <v>203</v>
      </c>
      <c r="E16" s="10">
        <v>11</v>
      </c>
      <c r="F16" s="10" t="s">
        <v>0</v>
      </c>
      <c r="G16" s="10" t="s">
        <v>0</v>
      </c>
      <c r="H16" s="10">
        <v>89</v>
      </c>
      <c r="I16" s="10" t="s">
        <v>0</v>
      </c>
      <c r="J16" s="11">
        <v>19</v>
      </c>
    </row>
    <row r="17" spans="1:10" x14ac:dyDescent="0.35">
      <c r="A17" s="17">
        <v>149</v>
      </c>
      <c r="B17" s="10" t="s">
        <v>35</v>
      </c>
      <c r="C17" s="10">
        <v>2009</v>
      </c>
      <c r="D17" s="10">
        <v>240</v>
      </c>
      <c r="E17" s="10">
        <v>25</v>
      </c>
      <c r="F17" s="10" t="s">
        <v>0</v>
      </c>
      <c r="G17" s="10" t="s">
        <v>0</v>
      </c>
      <c r="H17" s="10">
        <v>75</v>
      </c>
      <c r="I17" s="10" t="s">
        <v>0</v>
      </c>
      <c r="J17" s="11">
        <v>19</v>
      </c>
    </row>
    <row r="18" spans="1:10" x14ac:dyDescent="0.35">
      <c r="A18" s="17">
        <v>149</v>
      </c>
      <c r="B18" s="10" t="s">
        <v>35</v>
      </c>
      <c r="C18" s="10">
        <v>2009</v>
      </c>
      <c r="D18" s="10">
        <v>267</v>
      </c>
      <c r="E18" s="10">
        <v>40</v>
      </c>
      <c r="F18" s="10" t="s">
        <v>0</v>
      </c>
      <c r="G18" s="10" t="s">
        <v>0</v>
      </c>
      <c r="H18" s="10">
        <v>60</v>
      </c>
      <c r="I18" s="10" t="s">
        <v>0</v>
      </c>
      <c r="J18" s="11">
        <v>19</v>
      </c>
    </row>
    <row r="19" spans="1:10" x14ac:dyDescent="0.35">
      <c r="A19" s="17">
        <v>149</v>
      </c>
      <c r="B19" s="10" t="s">
        <v>63</v>
      </c>
      <c r="C19" s="10">
        <v>2010</v>
      </c>
      <c r="D19" s="10">
        <v>209</v>
      </c>
      <c r="E19" s="10">
        <v>29</v>
      </c>
      <c r="F19" s="10" t="s">
        <v>0</v>
      </c>
      <c r="G19" s="10" t="s">
        <v>0</v>
      </c>
      <c r="H19" s="10">
        <v>71</v>
      </c>
      <c r="I19" s="10" t="s">
        <v>0</v>
      </c>
      <c r="J19" s="11">
        <v>19</v>
      </c>
    </row>
    <row r="20" spans="1:10" ht="15" thickBot="1" x14ac:dyDescent="0.4">
      <c r="A20" s="7"/>
      <c r="B20" s="12"/>
      <c r="C20" s="8"/>
      <c r="D20" s="8"/>
      <c r="E20" s="12"/>
      <c r="F20" s="8"/>
      <c r="G20" s="8"/>
      <c r="H20" s="8"/>
      <c r="I20" s="12"/>
      <c r="J20" s="13"/>
    </row>
  </sheetData>
  <mergeCells count="16">
    <mergeCell ref="B7:J7"/>
    <mergeCell ref="A1:J2"/>
    <mergeCell ref="A3:J3"/>
    <mergeCell ref="A4:J4"/>
    <mergeCell ref="B5:J5"/>
    <mergeCell ref="B6:J6"/>
    <mergeCell ref="B8:J8"/>
    <mergeCell ref="B9:J9"/>
    <mergeCell ref="B10:J10"/>
    <mergeCell ref="B11:J11"/>
    <mergeCell ref="B13:B14"/>
    <mergeCell ref="C13:C14"/>
    <mergeCell ref="D13:D14"/>
    <mergeCell ref="E13:E14"/>
    <mergeCell ref="F13:H13"/>
    <mergeCell ref="I13:I14"/>
  </mergeCells>
  <pageMargins left="0.7" right="0.7" top="0.75" bottom="0.75" header="0.3" footer="0.3"/>
  <pageSetup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77CE9-F40C-47F0-A438-7CBA55CE5169}">
  <sheetPr>
    <tabColor rgb="FFFFFF00"/>
  </sheetPr>
  <dimension ref="A1:J19"/>
  <sheetViews>
    <sheetView zoomScale="130" zoomScaleNormal="130" workbookViewId="0">
      <selection activeCell="B9" sqref="B9:J9"/>
    </sheetView>
  </sheetViews>
  <sheetFormatPr defaultColWidth="9.1796875" defaultRowHeight="14.5" x14ac:dyDescent="0.35"/>
  <cols>
    <col min="1" max="1" width="20.1796875" bestFit="1" customWidth="1"/>
    <col min="2" max="2" width="14.26953125" style="1" bestFit="1" customWidth="1"/>
    <col min="3" max="3" width="8.1796875" style="1" customWidth="1"/>
    <col min="4" max="4" width="10.54296875" style="1" customWidth="1"/>
    <col min="5" max="5" width="9.54296875" style="1" customWidth="1"/>
    <col min="6" max="6" width="12.1796875" style="1" customWidth="1"/>
    <col min="7" max="7" width="12.54296875" style="1" customWidth="1"/>
    <col min="8" max="8" width="8.81640625" style="1" bestFit="1" customWidth="1"/>
    <col min="9" max="9" width="14.1796875" style="1" customWidth="1"/>
    <col min="10" max="10" width="7" style="1" bestFit="1" customWidth="1"/>
  </cols>
  <sheetData>
    <row r="1" spans="1:10" x14ac:dyDescent="0.35">
      <c r="A1" s="66" t="s">
        <v>16</v>
      </c>
      <c r="B1" s="67"/>
      <c r="C1" s="67"/>
      <c r="D1" s="67"/>
      <c r="E1" s="67"/>
      <c r="F1" s="67"/>
      <c r="G1" s="67"/>
      <c r="H1" s="67"/>
      <c r="I1" s="67"/>
      <c r="J1" s="68"/>
    </row>
    <row r="2" spans="1:10" x14ac:dyDescent="0.35">
      <c r="A2" s="69"/>
      <c r="B2" s="70"/>
      <c r="C2" s="70"/>
      <c r="D2" s="70"/>
      <c r="E2" s="70"/>
      <c r="F2" s="70"/>
      <c r="G2" s="70"/>
      <c r="H2" s="70"/>
      <c r="I2" s="70"/>
      <c r="J2" s="71"/>
    </row>
    <row r="3" spans="1:10" x14ac:dyDescent="0.35">
      <c r="A3" s="72" t="s">
        <v>136</v>
      </c>
      <c r="B3" s="73"/>
      <c r="C3" s="73"/>
      <c r="D3" s="73"/>
      <c r="E3" s="73"/>
      <c r="F3" s="73"/>
      <c r="G3" s="73"/>
      <c r="H3" s="73"/>
      <c r="I3" s="73"/>
      <c r="J3" s="74"/>
    </row>
    <row r="4" spans="1:10" x14ac:dyDescent="0.35">
      <c r="A4" s="81"/>
      <c r="B4" s="76"/>
      <c r="C4" s="76"/>
      <c r="D4" s="76"/>
      <c r="E4" s="76"/>
      <c r="F4" s="76"/>
      <c r="G4" s="76"/>
      <c r="H4" s="76"/>
      <c r="I4" s="76"/>
      <c r="J4" s="77"/>
    </row>
    <row r="5" spans="1:10" x14ac:dyDescent="0.35">
      <c r="A5" s="2" t="s">
        <v>11</v>
      </c>
      <c r="B5" s="73">
        <v>862</v>
      </c>
      <c r="C5" s="73"/>
      <c r="D5" s="73"/>
      <c r="E5" s="73"/>
      <c r="F5" s="73"/>
      <c r="G5" s="73"/>
      <c r="H5" s="73"/>
      <c r="I5" s="73"/>
      <c r="J5" s="74"/>
    </row>
    <row r="6" spans="1:10" x14ac:dyDescent="0.35">
      <c r="A6" s="3" t="s">
        <v>12</v>
      </c>
      <c r="B6" s="73" t="s">
        <v>48</v>
      </c>
      <c r="C6" s="73"/>
      <c r="D6" s="73"/>
      <c r="E6" s="73"/>
      <c r="F6" s="73"/>
      <c r="G6" s="73"/>
      <c r="H6" s="73"/>
      <c r="I6" s="73"/>
      <c r="J6" s="74"/>
    </row>
    <row r="7" spans="1:10" x14ac:dyDescent="0.35">
      <c r="A7" s="3" t="s">
        <v>13</v>
      </c>
      <c r="B7" s="73" t="s">
        <v>14</v>
      </c>
      <c r="C7" s="73"/>
      <c r="D7" s="73"/>
      <c r="E7" s="73"/>
      <c r="F7" s="73"/>
      <c r="G7" s="73"/>
      <c r="H7" s="73"/>
      <c r="I7" s="73"/>
      <c r="J7" s="74"/>
    </row>
    <row r="8" spans="1:10" x14ac:dyDescent="0.35">
      <c r="A8" s="3" t="s">
        <v>1</v>
      </c>
      <c r="B8" s="73" t="s">
        <v>17</v>
      </c>
      <c r="C8" s="73"/>
      <c r="D8" s="73"/>
      <c r="E8" s="73"/>
      <c r="F8" s="73"/>
      <c r="G8" s="73"/>
      <c r="H8" s="73"/>
      <c r="I8" s="73"/>
      <c r="J8" s="74"/>
    </row>
    <row r="9" spans="1:10" x14ac:dyDescent="0.35">
      <c r="A9" s="3" t="s">
        <v>15</v>
      </c>
      <c r="B9" s="73">
        <v>4</v>
      </c>
      <c r="C9" s="73"/>
      <c r="D9" s="73"/>
      <c r="E9" s="73"/>
      <c r="F9" s="73"/>
      <c r="G9" s="73"/>
      <c r="H9" s="73"/>
      <c r="I9" s="73"/>
      <c r="J9" s="74"/>
    </row>
    <row r="10" spans="1:10" x14ac:dyDescent="0.35">
      <c r="A10" s="9" t="s">
        <v>18</v>
      </c>
      <c r="B10" s="88">
        <v>0.42</v>
      </c>
      <c r="C10" s="88"/>
      <c r="D10" s="88"/>
      <c r="E10" s="88"/>
      <c r="F10" s="88"/>
      <c r="G10" s="88"/>
      <c r="H10" s="88"/>
      <c r="I10" s="89"/>
      <c r="J10" s="90"/>
    </row>
    <row r="11" spans="1:10" x14ac:dyDescent="0.35">
      <c r="A11" s="4"/>
      <c r="B11" s="75" t="s">
        <v>21</v>
      </c>
      <c r="C11" s="76"/>
      <c r="D11" s="76"/>
      <c r="E11" s="76"/>
      <c r="F11" s="76"/>
      <c r="G11" s="76"/>
      <c r="H11" s="76"/>
      <c r="I11" s="76"/>
      <c r="J11" s="77"/>
    </row>
    <row r="12" spans="1:10" x14ac:dyDescent="0.35">
      <c r="A12" s="4"/>
      <c r="B12" s="14"/>
      <c r="C12" s="15"/>
      <c r="D12" s="15"/>
      <c r="F12" s="15"/>
      <c r="G12" s="15"/>
      <c r="H12" s="15"/>
      <c r="I12" s="18"/>
      <c r="J12" s="16"/>
    </row>
    <row r="13" spans="1:10" ht="15" customHeight="1" x14ac:dyDescent="0.35">
      <c r="A13" s="4"/>
      <c r="B13" s="91" t="s">
        <v>24</v>
      </c>
      <c r="C13" s="91" t="s">
        <v>19</v>
      </c>
      <c r="D13" s="91" t="s">
        <v>20</v>
      </c>
      <c r="E13" s="91" t="s">
        <v>2</v>
      </c>
      <c r="F13" s="76" t="s">
        <v>22</v>
      </c>
      <c r="G13" s="76"/>
      <c r="H13" s="76"/>
      <c r="I13" s="91" t="s">
        <v>70</v>
      </c>
      <c r="J13" s="16"/>
    </row>
    <row r="14" spans="1:10" x14ac:dyDescent="0.35">
      <c r="A14" s="17" t="s">
        <v>9</v>
      </c>
      <c r="B14" s="91"/>
      <c r="C14" s="91"/>
      <c r="D14" s="91"/>
      <c r="E14" s="91"/>
      <c r="F14" s="22" t="s">
        <v>25</v>
      </c>
      <c r="G14" s="5" t="s">
        <v>26</v>
      </c>
      <c r="H14" s="14" t="s">
        <v>23</v>
      </c>
      <c r="I14" s="91"/>
      <c r="J14" s="16" t="s">
        <v>3</v>
      </c>
    </row>
    <row r="15" spans="1:10" x14ac:dyDescent="0.35">
      <c r="A15" s="17">
        <v>91</v>
      </c>
      <c r="B15" s="10" t="s">
        <v>29</v>
      </c>
      <c r="C15" s="10">
        <v>1993</v>
      </c>
      <c r="D15" s="10">
        <v>111</v>
      </c>
      <c r="E15" s="10">
        <v>46</v>
      </c>
      <c r="F15" s="10" t="s">
        <v>0</v>
      </c>
      <c r="G15" s="10" t="s">
        <v>0</v>
      </c>
      <c r="H15" s="10">
        <v>54</v>
      </c>
      <c r="I15" s="10" t="s">
        <v>0</v>
      </c>
      <c r="J15" s="11">
        <v>30</v>
      </c>
    </row>
    <row r="16" spans="1:10" x14ac:dyDescent="0.35">
      <c r="A16" s="17">
        <v>100</v>
      </c>
      <c r="B16" s="10" t="s">
        <v>29</v>
      </c>
      <c r="C16" s="10">
        <v>1993</v>
      </c>
      <c r="D16" s="10">
        <v>147</v>
      </c>
      <c r="E16" s="10">
        <v>54</v>
      </c>
      <c r="F16" s="10" t="s">
        <v>0</v>
      </c>
      <c r="G16" s="10" t="s">
        <v>0</v>
      </c>
      <c r="H16" s="10">
        <v>46</v>
      </c>
      <c r="I16" s="10" t="s">
        <v>0</v>
      </c>
      <c r="J16" s="11">
        <v>30</v>
      </c>
    </row>
    <row r="17" spans="1:10" x14ac:dyDescent="0.35">
      <c r="A17" s="17">
        <v>107</v>
      </c>
      <c r="B17" s="10" t="s">
        <v>29</v>
      </c>
      <c r="C17" s="10">
        <v>1992</v>
      </c>
      <c r="D17" s="10">
        <v>488</v>
      </c>
      <c r="E17" s="10">
        <v>44</v>
      </c>
      <c r="F17" s="10">
        <v>32</v>
      </c>
      <c r="G17" s="10">
        <v>24</v>
      </c>
      <c r="H17" s="10">
        <v>56</v>
      </c>
      <c r="I17" s="10" t="s">
        <v>0</v>
      </c>
      <c r="J17" s="11">
        <v>30</v>
      </c>
    </row>
    <row r="18" spans="1:10" x14ac:dyDescent="0.35">
      <c r="A18" s="17">
        <v>142</v>
      </c>
      <c r="B18" s="10" t="s">
        <v>29</v>
      </c>
      <c r="C18" s="10">
        <v>2010</v>
      </c>
      <c r="D18" s="10">
        <v>153</v>
      </c>
      <c r="E18" s="10">
        <v>25</v>
      </c>
      <c r="F18" s="10" t="s">
        <v>0</v>
      </c>
      <c r="G18" s="10" t="s">
        <v>0</v>
      </c>
      <c r="H18" s="10">
        <v>75</v>
      </c>
      <c r="I18" s="10">
        <v>3888</v>
      </c>
      <c r="J18" s="11">
        <v>9</v>
      </c>
    </row>
    <row r="19" spans="1:10" ht="15" thickBot="1" x14ac:dyDescent="0.4">
      <c r="A19" s="7"/>
      <c r="B19" s="12"/>
      <c r="C19" s="8"/>
      <c r="D19" s="8"/>
      <c r="E19" s="12"/>
      <c r="F19" s="8"/>
      <c r="G19" s="8"/>
      <c r="H19" s="8"/>
      <c r="I19" s="12"/>
      <c r="J19" s="13"/>
    </row>
  </sheetData>
  <mergeCells count="16">
    <mergeCell ref="B7:J7"/>
    <mergeCell ref="A1:J2"/>
    <mergeCell ref="A3:J3"/>
    <mergeCell ref="A4:J4"/>
    <mergeCell ref="B5:J5"/>
    <mergeCell ref="B6:J6"/>
    <mergeCell ref="B8:J8"/>
    <mergeCell ref="B9:J9"/>
    <mergeCell ref="B10:J10"/>
    <mergeCell ref="B11:J11"/>
    <mergeCell ref="B13:B14"/>
    <mergeCell ref="C13:C14"/>
    <mergeCell ref="D13:D14"/>
    <mergeCell ref="E13:E14"/>
    <mergeCell ref="F13:H13"/>
    <mergeCell ref="I13:I14"/>
  </mergeCells>
  <pageMargins left="0.7" right="0.7" top="0.75" bottom="0.75" header="0.3" footer="0.3"/>
  <pageSetup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24ED9-46C8-4A93-9AAE-3161F32AB330}">
  <sheetPr>
    <tabColor rgb="FFFFFF00"/>
  </sheetPr>
  <dimension ref="A1:J16"/>
  <sheetViews>
    <sheetView zoomScale="130" zoomScaleNormal="130" workbookViewId="0">
      <selection activeCell="B10" sqref="B10:J10"/>
    </sheetView>
  </sheetViews>
  <sheetFormatPr defaultColWidth="9.1796875" defaultRowHeight="14.5" x14ac:dyDescent="0.35"/>
  <cols>
    <col min="1" max="1" width="20.1796875" bestFit="1" customWidth="1"/>
    <col min="2" max="2" width="14.26953125" style="1" bestFit="1" customWidth="1"/>
    <col min="3" max="3" width="8.1796875" style="1" customWidth="1"/>
    <col min="4" max="4" width="10.54296875" style="1" customWidth="1"/>
    <col min="5" max="5" width="9.54296875" style="1" customWidth="1"/>
    <col min="6" max="6" width="12.1796875" style="1" customWidth="1"/>
    <col min="7" max="7" width="12.54296875" style="1" customWidth="1"/>
    <col min="8" max="8" width="8.81640625" style="1" bestFit="1" customWidth="1"/>
    <col min="9" max="9" width="14.1796875" style="1" customWidth="1"/>
    <col min="10" max="10" width="7" style="1" bestFit="1" customWidth="1"/>
  </cols>
  <sheetData>
    <row r="1" spans="1:10" x14ac:dyDescent="0.35">
      <c r="A1" s="66" t="s">
        <v>16</v>
      </c>
      <c r="B1" s="67"/>
      <c r="C1" s="67"/>
      <c r="D1" s="67"/>
      <c r="E1" s="67"/>
      <c r="F1" s="67"/>
      <c r="G1" s="67"/>
      <c r="H1" s="67"/>
      <c r="I1" s="67"/>
      <c r="J1" s="68"/>
    </row>
    <row r="2" spans="1:10" x14ac:dyDescent="0.35">
      <c r="A2" s="69"/>
      <c r="B2" s="70"/>
      <c r="C2" s="70"/>
      <c r="D2" s="70"/>
      <c r="E2" s="70"/>
      <c r="F2" s="70"/>
      <c r="G2" s="70"/>
      <c r="H2" s="70"/>
      <c r="I2" s="70"/>
      <c r="J2" s="71"/>
    </row>
    <row r="3" spans="1:10" x14ac:dyDescent="0.35">
      <c r="A3" s="72" t="s">
        <v>136</v>
      </c>
      <c r="B3" s="73"/>
      <c r="C3" s="73"/>
      <c r="D3" s="73"/>
      <c r="E3" s="73"/>
      <c r="F3" s="73"/>
      <c r="G3" s="73"/>
      <c r="H3" s="73"/>
      <c r="I3" s="73"/>
      <c r="J3" s="74"/>
    </row>
    <row r="4" spans="1:10" x14ac:dyDescent="0.35">
      <c r="A4" s="81"/>
      <c r="B4" s="76"/>
      <c r="C4" s="76"/>
      <c r="D4" s="76"/>
      <c r="E4" s="76"/>
      <c r="F4" s="76"/>
      <c r="G4" s="76"/>
      <c r="H4" s="76"/>
      <c r="I4" s="76"/>
      <c r="J4" s="77"/>
    </row>
    <row r="5" spans="1:10" x14ac:dyDescent="0.35">
      <c r="A5" s="2" t="s">
        <v>11</v>
      </c>
      <c r="B5" s="73">
        <v>863</v>
      </c>
      <c r="C5" s="73"/>
      <c r="D5" s="73"/>
      <c r="E5" s="73"/>
      <c r="F5" s="73"/>
      <c r="G5" s="73"/>
      <c r="H5" s="73"/>
      <c r="I5" s="73"/>
      <c r="J5" s="74"/>
    </row>
    <row r="6" spans="1:10" x14ac:dyDescent="0.35">
      <c r="A6" s="3" t="s">
        <v>12</v>
      </c>
      <c r="B6" s="73" t="s">
        <v>49</v>
      </c>
      <c r="C6" s="73"/>
      <c r="D6" s="73"/>
      <c r="E6" s="73"/>
      <c r="F6" s="73"/>
      <c r="G6" s="73"/>
      <c r="H6" s="73"/>
      <c r="I6" s="73"/>
      <c r="J6" s="74"/>
    </row>
    <row r="7" spans="1:10" x14ac:dyDescent="0.35">
      <c r="A7" s="3" t="s">
        <v>13</v>
      </c>
      <c r="B7" s="73" t="s">
        <v>14</v>
      </c>
      <c r="C7" s="73"/>
      <c r="D7" s="73"/>
      <c r="E7" s="73"/>
      <c r="F7" s="73"/>
      <c r="G7" s="73"/>
      <c r="H7" s="73"/>
      <c r="I7" s="73"/>
      <c r="J7" s="74"/>
    </row>
    <row r="8" spans="1:10" x14ac:dyDescent="0.35">
      <c r="A8" s="3" t="s">
        <v>1</v>
      </c>
      <c r="B8" s="73" t="s">
        <v>17</v>
      </c>
      <c r="C8" s="73"/>
      <c r="D8" s="73"/>
      <c r="E8" s="73"/>
      <c r="F8" s="73"/>
      <c r="G8" s="73"/>
      <c r="H8" s="73"/>
      <c r="I8" s="73"/>
      <c r="J8" s="74"/>
    </row>
    <row r="9" spans="1:10" x14ac:dyDescent="0.35">
      <c r="A9" s="3" t="s">
        <v>15</v>
      </c>
      <c r="B9" s="73">
        <v>1</v>
      </c>
      <c r="C9" s="73"/>
      <c r="D9" s="73"/>
      <c r="E9" s="73"/>
      <c r="F9" s="73"/>
      <c r="G9" s="73"/>
      <c r="H9" s="73"/>
      <c r="I9" s="73"/>
      <c r="J9" s="74"/>
    </row>
    <row r="10" spans="1:10" x14ac:dyDescent="0.35">
      <c r="A10" s="9" t="s">
        <v>18</v>
      </c>
      <c r="B10" s="88">
        <v>0.4</v>
      </c>
      <c r="C10" s="88"/>
      <c r="D10" s="88"/>
      <c r="E10" s="88"/>
      <c r="F10" s="88"/>
      <c r="G10" s="88"/>
      <c r="H10" s="88"/>
      <c r="I10" s="89"/>
      <c r="J10" s="90"/>
    </row>
    <row r="11" spans="1:10" x14ac:dyDescent="0.35">
      <c r="A11" s="4"/>
      <c r="B11" s="75" t="s">
        <v>21</v>
      </c>
      <c r="C11" s="76"/>
      <c r="D11" s="76"/>
      <c r="E11" s="76"/>
      <c r="F11" s="76"/>
      <c r="G11" s="76"/>
      <c r="H11" s="76"/>
      <c r="I11" s="76"/>
      <c r="J11" s="77"/>
    </row>
    <row r="12" spans="1:10" x14ac:dyDescent="0.35">
      <c r="A12" s="4"/>
      <c r="B12" s="14"/>
      <c r="C12" s="15"/>
      <c r="D12" s="15"/>
      <c r="F12" s="15"/>
      <c r="G12" s="15"/>
      <c r="H12" s="15"/>
      <c r="I12" s="18"/>
      <c r="J12" s="16"/>
    </row>
    <row r="13" spans="1:10" ht="15" customHeight="1" x14ac:dyDescent="0.35">
      <c r="A13" s="4"/>
      <c r="B13" s="91" t="s">
        <v>24</v>
      </c>
      <c r="C13" s="91" t="s">
        <v>19</v>
      </c>
      <c r="D13" s="91" t="s">
        <v>20</v>
      </c>
      <c r="E13" s="91" t="s">
        <v>2</v>
      </c>
      <c r="F13" s="76" t="s">
        <v>22</v>
      </c>
      <c r="G13" s="76"/>
      <c r="H13" s="76"/>
      <c r="I13" s="91" t="s">
        <v>70</v>
      </c>
      <c r="J13" s="16"/>
    </row>
    <row r="14" spans="1:10" x14ac:dyDescent="0.35">
      <c r="A14" s="17" t="s">
        <v>9</v>
      </c>
      <c r="B14" s="91"/>
      <c r="C14" s="91"/>
      <c r="D14" s="91"/>
      <c r="E14" s="91"/>
      <c r="F14" s="22" t="s">
        <v>25</v>
      </c>
      <c r="G14" s="5" t="s">
        <v>26</v>
      </c>
      <c r="H14" s="14" t="s">
        <v>23</v>
      </c>
      <c r="I14" s="91"/>
      <c r="J14" s="16" t="s">
        <v>3</v>
      </c>
    </row>
    <row r="15" spans="1:10" x14ac:dyDescent="0.35">
      <c r="A15" s="17">
        <v>46</v>
      </c>
      <c r="B15" s="10" t="s">
        <v>29</v>
      </c>
      <c r="C15" s="10">
        <v>1995</v>
      </c>
      <c r="D15" s="10">
        <v>1329</v>
      </c>
      <c r="E15" s="10">
        <v>40</v>
      </c>
      <c r="F15" s="10">
        <v>27</v>
      </c>
      <c r="G15" s="10">
        <v>33</v>
      </c>
      <c r="H15" s="10">
        <v>60</v>
      </c>
      <c r="I15" s="10" t="s">
        <v>0</v>
      </c>
      <c r="J15" s="11">
        <v>30</v>
      </c>
    </row>
    <row r="16" spans="1:10" ht="15" thickBot="1" x14ac:dyDescent="0.4">
      <c r="A16" s="7"/>
      <c r="B16" s="12"/>
      <c r="C16" s="8"/>
      <c r="D16" s="8"/>
      <c r="E16" s="12"/>
      <c r="F16" s="8"/>
      <c r="G16" s="8"/>
      <c r="H16" s="8"/>
      <c r="I16" s="12"/>
      <c r="J16" s="13"/>
    </row>
  </sheetData>
  <mergeCells count="16">
    <mergeCell ref="B7:J7"/>
    <mergeCell ref="A1:J2"/>
    <mergeCell ref="A3:J3"/>
    <mergeCell ref="A4:J4"/>
    <mergeCell ref="B5:J5"/>
    <mergeCell ref="B6:J6"/>
    <mergeCell ref="B8:J8"/>
    <mergeCell ref="B9:J9"/>
    <mergeCell ref="B10:J10"/>
    <mergeCell ref="B11:J11"/>
    <mergeCell ref="B13:B14"/>
    <mergeCell ref="C13:C14"/>
    <mergeCell ref="D13:D14"/>
    <mergeCell ref="E13:E14"/>
    <mergeCell ref="F13:H13"/>
    <mergeCell ref="I13:I14"/>
  </mergeCells>
  <pageMargins left="0.7" right="0.7" top="0.75" bottom="0.75" header="0.3" footer="0.3"/>
  <pageSetup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39C02-983E-4F5F-A7A6-762AFDCE573B}">
  <sheetPr>
    <tabColor rgb="FFFFFF00"/>
  </sheetPr>
  <dimension ref="A1:J21"/>
  <sheetViews>
    <sheetView zoomScale="130" zoomScaleNormal="130" workbookViewId="0">
      <selection activeCell="A4" sqref="A4:K4"/>
    </sheetView>
  </sheetViews>
  <sheetFormatPr defaultColWidth="9.1796875" defaultRowHeight="14.5" x14ac:dyDescent="0.35"/>
  <cols>
    <col min="1" max="1" width="20.1796875" bestFit="1" customWidth="1"/>
    <col min="2" max="2" width="14.26953125" style="1" bestFit="1" customWidth="1"/>
    <col min="3" max="3" width="8.1796875" style="1" customWidth="1"/>
    <col min="4" max="4" width="10.54296875" style="1" customWidth="1"/>
    <col min="5" max="5" width="9.54296875" style="1" customWidth="1"/>
    <col min="6" max="6" width="12.1796875" style="1" customWidth="1"/>
    <col min="7" max="7" width="12.54296875" style="1" customWidth="1"/>
    <col min="8" max="8" width="8.81640625" style="1" bestFit="1" customWidth="1"/>
    <col min="9" max="9" width="14.1796875" style="1" customWidth="1"/>
    <col min="10" max="10" width="7" style="1" bestFit="1" customWidth="1"/>
  </cols>
  <sheetData>
    <row r="1" spans="1:10" x14ac:dyDescent="0.35">
      <c r="A1" s="66" t="s">
        <v>16</v>
      </c>
      <c r="B1" s="67"/>
      <c r="C1" s="67"/>
      <c r="D1" s="67"/>
      <c r="E1" s="67"/>
      <c r="F1" s="67"/>
      <c r="G1" s="67"/>
      <c r="H1" s="67"/>
      <c r="I1" s="67"/>
      <c r="J1" s="68"/>
    </row>
    <row r="2" spans="1:10" x14ac:dyDescent="0.35">
      <c r="A2" s="69"/>
      <c r="B2" s="70"/>
      <c r="C2" s="70"/>
      <c r="D2" s="70"/>
      <c r="E2" s="70"/>
      <c r="F2" s="70"/>
      <c r="G2" s="70"/>
      <c r="H2" s="70"/>
      <c r="I2" s="70"/>
      <c r="J2" s="71"/>
    </row>
    <row r="3" spans="1:10" x14ac:dyDescent="0.35">
      <c r="A3" s="72" t="s">
        <v>136</v>
      </c>
      <c r="B3" s="73"/>
      <c r="C3" s="73"/>
      <c r="D3" s="73"/>
      <c r="E3" s="73"/>
      <c r="F3" s="73"/>
      <c r="G3" s="73"/>
      <c r="H3" s="73"/>
      <c r="I3" s="73"/>
      <c r="J3" s="74"/>
    </row>
    <row r="4" spans="1:10" x14ac:dyDescent="0.35">
      <c r="A4" s="81"/>
      <c r="B4" s="76"/>
      <c r="C4" s="76"/>
      <c r="D4" s="76"/>
      <c r="E4" s="76"/>
      <c r="F4" s="76"/>
      <c r="G4" s="76"/>
      <c r="H4" s="76"/>
      <c r="I4" s="76"/>
      <c r="J4" s="77"/>
    </row>
    <row r="5" spans="1:10" x14ac:dyDescent="0.35">
      <c r="A5" s="2" t="s">
        <v>11</v>
      </c>
      <c r="B5" s="73">
        <v>880</v>
      </c>
      <c r="C5" s="73"/>
      <c r="D5" s="73"/>
      <c r="E5" s="73"/>
      <c r="F5" s="73"/>
      <c r="G5" s="73"/>
      <c r="H5" s="73"/>
      <c r="I5" s="73"/>
      <c r="J5" s="74"/>
    </row>
    <row r="6" spans="1:10" x14ac:dyDescent="0.35">
      <c r="A6" s="3" t="s">
        <v>12</v>
      </c>
      <c r="B6" s="73" t="s">
        <v>50</v>
      </c>
      <c r="C6" s="73"/>
      <c r="D6" s="73"/>
      <c r="E6" s="73"/>
      <c r="F6" s="73"/>
      <c r="G6" s="73"/>
      <c r="H6" s="73"/>
      <c r="I6" s="73"/>
      <c r="J6" s="74"/>
    </row>
    <row r="7" spans="1:10" x14ac:dyDescent="0.35">
      <c r="A7" s="3" t="s">
        <v>13</v>
      </c>
      <c r="B7" s="73" t="s">
        <v>14</v>
      </c>
      <c r="C7" s="73"/>
      <c r="D7" s="73"/>
      <c r="E7" s="73"/>
      <c r="F7" s="73"/>
      <c r="G7" s="73"/>
      <c r="H7" s="73"/>
      <c r="I7" s="73"/>
      <c r="J7" s="74"/>
    </row>
    <row r="8" spans="1:10" x14ac:dyDescent="0.35">
      <c r="A8" s="3" t="s">
        <v>1</v>
      </c>
      <c r="B8" s="73" t="s">
        <v>17</v>
      </c>
      <c r="C8" s="73"/>
      <c r="D8" s="73"/>
      <c r="E8" s="73"/>
      <c r="F8" s="73"/>
      <c r="G8" s="73"/>
      <c r="H8" s="73"/>
      <c r="I8" s="73"/>
      <c r="J8" s="74"/>
    </row>
    <row r="9" spans="1:10" x14ac:dyDescent="0.35">
      <c r="A9" s="3" t="s">
        <v>15</v>
      </c>
      <c r="B9" s="73">
        <v>6</v>
      </c>
      <c r="C9" s="73"/>
      <c r="D9" s="73"/>
      <c r="E9" s="73"/>
      <c r="F9" s="73"/>
      <c r="G9" s="73"/>
      <c r="H9" s="73"/>
      <c r="I9" s="73"/>
      <c r="J9" s="74"/>
    </row>
    <row r="10" spans="1:10" x14ac:dyDescent="0.35">
      <c r="A10" s="9" t="s">
        <v>18</v>
      </c>
      <c r="B10" s="88">
        <v>0.53</v>
      </c>
      <c r="C10" s="88"/>
      <c r="D10" s="88"/>
      <c r="E10" s="88"/>
      <c r="F10" s="88"/>
      <c r="G10" s="88"/>
      <c r="H10" s="88"/>
      <c r="I10" s="89"/>
      <c r="J10" s="90"/>
    </row>
    <row r="11" spans="1:10" x14ac:dyDescent="0.35">
      <c r="A11" s="4"/>
      <c r="B11" s="75" t="s">
        <v>21</v>
      </c>
      <c r="C11" s="76"/>
      <c r="D11" s="76"/>
      <c r="E11" s="76"/>
      <c r="F11" s="76"/>
      <c r="G11" s="76"/>
      <c r="H11" s="76"/>
      <c r="I11" s="76"/>
      <c r="J11" s="77"/>
    </row>
    <row r="12" spans="1:10" x14ac:dyDescent="0.35">
      <c r="A12" s="4"/>
      <c r="B12" s="14"/>
      <c r="C12" s="15"/>
      <c r="D12" s="15"/>
      <c r="F12" s="15"/>
      <c r="G12" s="15"/>
      <c r="H12" s="15"/>
      <c r="I12" s="18"/>
      <c r="J12" s="16"/>
    </row>
    <row r="13" spans="1:10" ht="15" customHeight="1" x14ac:dyDescent="0.35">
      <c r="A13" s="4"/>
      <c r="B13" s="91" t="s">
        <v>24</v>
      </c>
      <c r="C13" s="91" t="s">
        <v>19</v>
      </c>
      <c r="D13" s="91" t="s">
        <v>20</v>
      </c>
      <c r="E13" s="91" t="s">
        <v>2</v>
      </c>
      <c r="F13" s="76" t="s">
        <v>22</v>
      </c>
      <c r="G13" s="76"/>
      <c r="H13" s="76"/>
      <c r="I13" s="91" t="s">
        <v>70</v>
      </c>
      <c r="J13" s="16"/>
    </row>
    <row r="14" spans="1:10" x14ac:dyDescent="0.35">
      <c r="A14" s="17" t="s">
        <v>9</v>
      </c>
      <c r="B14" s="91"/>
      <c r="C14" s="91"/>
      <c r="D14" s="91"/>
      <c r="E14" s="91"/>
      <c r="F14" s="22" t="s">
        <v>25</v>
      </c>
      <c r="G14" s="5" t="s">
        <v>26</v>
      </c>
      <c r="H14" s="14" t="s">
        <v>23</v>
      </c>
      <c r="I14" s="91"/>
      <c r="J14" s="16" t="s">
        <v>3</v>
      </c>
    </row>
    <row r="15" spans="1:10" x14ac:dyDescent="0.35">
      <c r="A15" s="17">
        <v>8.6</v>
      </c>
      <c r="B15" s="10" t="s">
        <v>29</v>
      </c>
      <c r="C15" s="10">
        <v>1995</v>
      </c>
      <c r="D15" s="10">
        <v>369</v>
      </c>
      <c r="E15" s="10">
        <v>60</v>
      </c>
      <c r="F15" s="10">
        <v>25</v>
      </c>
      <c r="G15" s="10">
        <v>15</v>
      </c>
      <c r="H15" s="10">
        <v>40</v>
      </c>
      <c r="I15" s="10" t="s">
        <v>0</v>
      </c>
      <c r="J15" s="11">
        <v>30</v>
      </c>
    </row>
    <row r="16" spans="1:10" x14ac:dyDescent="0.35">
      <c r="A16" s="17">
        <v>9.6</v>
      </c>
      <c r="B16" s="10" t="s">
        <v>29</v>
      </c>
      <c r="C16" s="10">
        <v>1995</v>
      </c>
      <c r="D16" s="10">
        <v>190</v>
      </c>
      <c r="E16" s="10">
        <v>30</v>
      </c>
      <c r="F16" s="10">
        <v>57</v>
      </c>
      <c r="G16" s="10">
        <v>13</v>
      </c>
      <c r="H16" s="10">
        <v>70</v>
      </c>
      <c r="I16" s="10" t="s">
        <v>0</v>
      </c>
      <c r="J16" s="11">
        <v>30</v>
      </c>
    </row>
    <row r="17" spans="1:10" x14ac:dyDescent="0.35">
      <c r="A17" s="17">
        <v>10</v>
      </c>
      <c r="B17" s="10" t="s">
        <v>29</v>
      </c>
      <c r="C17" s="10">
        <v>1992</v>
      </c>
      <c r="D17" s="10">
        <v>42</v>
      </c>
      <c r="E17" s="10">
        <v>65</v>
      </c>
      <c r="F17" s="10" t="s">
        <v>0</v>
      </c>
      <c r="G17" s="10" t="s">
        <v>0</v>
      </c>
      <c r="H17" s="10">
        <v>35</v>
      </c>
      <c r="I17" s="10" t="s">
        <v>0</v>
      </c>
      <c r="J17" s="11">
        <v>30</v>
      </c>
    </row>
    <row r="18" spans="1:10" x14ac:dyDescent="0.35">
      <c r="A18" s="17">
        <v>10</v>
      </c>
      <c r="B18" s="10" t="s">
        <v>29</v>
      </c>
      <c r="C18" s="10">
        <v>1992</v>
      </c>
      <c r="D18" s="10">
        <v>54</v>
      </c>
      <c r="E18" s="10">
        <v>60</v>
      </c>
      <c r="F18" s="10" t="s">
        <v>0</v>
      </c>
      <c r="G18" s="10" t="s">
        <v>0</v>
      </c>
      <c r="H18" s="10">
        <v>40</v>
      </c>
      <c r="I18" s="10" t="s">
        <v>0</v>
      </c>
      <c r="J18" s="11">
        <v>30</v>
      </c>
    </row>
    <row r="19" spans="1:10" x14ac:dyDescent="0.35">
      <c r="A19" s="17">
        <v>12</v>
      </c>
      <c r="B19" s="10" t="s">
        <v>29</v>
      </c>
      <c r="C19" s="10">
        <v>1993</v>
      </c>
      <c r="D19" s="10">
        <v>365</v>
      </c>
      <c r="E19" s="10">
        <v>52</v>
      </c>
      <c r="F19" s="10" t="s">
        <v>0</v>
      </c>
      <c r="G19" s="10" t="s">
        <v>0</v>
      </c>
      <c r="H19" s="10">
        <v>48</v>
      </c>
      <c r="I19" s="10" t="s">
        <v>0</v>
      </c>
      <c r="J19" s="11">
        <v>30</v>
      </c>
    </row>
    <row r="20" spans="1:10" x14ac:dyDescent="0.35">
      <c r="A20" s="17">
        <v>13</v>
      </c>
      <c r="B20" s="10" t="s">
        <v>29</v>
      </c>
      <c r="C20" s="10">
        <v>1993</v>
      </c>
      <c r="D20" s="10">
        <v>55</v>
      </c>
      <c r="E20" s="10">
        <v>53</v>
      </c>
      <c r="F20" s="10" t="s">
        <v>0</v>
      </c>
      <c r="G20" s="10" t="s">
        <v>0</v>
      </c>
      <c r="H20" s="10">
        <v>47</v>
      </c>
      <c r="I20" s="10" t="s">
        <v>0</v>
      </c>
      <c r="J20" s="11">
        <v>30</v>
      </c>
    </row>
    <row r="21" spans="1:10" ht="15" thickBot="1" x14ac:dyDescent="0.4">
      <c r="A21" s="7"/>
      <c r="B21" s="12"/>
      <c r="C21" s="8"/>
      <c r="D21" s="8"/>
      <c r="E21" s="12"/>
      <c r="F21" s="8"/>
      <c r="G21" s="8"/>
      <c r="H21" s="8"/>
      <c r="I21" s="12"/>
      <c r="J21" s="13"/>
    </row>
  </sheetData>
  <mergeCells count="16">
    <mergeCell ref="B7:J7"/>
    <mergeCell ref="A1:J2"/>
    <mergeCell ref="A3:J3"/>
    <mergeCell ref="A4:J4"/>
    <mergeCell ref="B5:J5"/>
    <mergeCell ref="B6:J6"/>
    <mergeCell ref="B8:J8"/>
    <mergeCell ref="B9:J9"/>
    <mergeCell ref="B10:J10"/>
    <mergeCell ref="B11:J11"/>
    <mergeCell ref="B13:B14"/>
    <mergeCell ref="C13:C14"/>
    <mergeCell ref="D13:D14"/>
    <mergeCell ref="E13:E14"/>
    <mergeCell ref="F13:H13"/>
    <mergeCell ref="I13:I14"/>
  </mergeCells>
  <pageMargins left="0.7" right="0.7" top="0.75" bottom="0.75" header="0.3" footer="0.3"/>
  <pageSetup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31A4A-6ED4-41BA-B18A-5ED6DAB3F859}">
  <sheetPr>
    <tabColor rgb="FFFFFF00"/>
  </sheetPr>
  <dimension ref="A1:J18"/>
  <sheetViews>
    <sheetView zoomScale="130" zoomScaleNormal="130" workbookViewId="0">
      <selection activeCell="B9" sqref="B9:J9"/>
    </sheetView>
  </sheetViews>
  <sheetFormatPr defaultColWidth="9.1796875" defaultRowHeight="14.5" x14ac:dyDescent="0.35"/>
  <cols>
    <col min="1" max="1" width="20.1796875" bestFit="1" customWidth="1"/>
    <col min="2" max="2" width="14.26953125" style="1" bestFit="1" customWidth="1"/>
    <col min="3" max="3" width="8.1796875" style="1" customWidth="1"/>
    <col min="4" max="4" width="10.54296875" style="1" customWidth="1"/>
    <col min="5" max="5" width="9.54296875" style="1" customWidth="1"/>
    <col min="6" max="6" width="12.1796875" style="1" customWidth="1"/>
    <col min="7" max="7" width="12.54296875" style="1" customWidth="1"/>
    <col min="8" max="8" width="8.81640625" style="1" bestFit="1" customWidth="1"/>
    <col min="9" max="9" width="14.1796875" style="1" customWidth="1"/>
    <col min="10" max="10" width="7" style="1" bestFit="1" customWidth="1"/>
  </cols>
  <sheetData>
    <row r="1" spans="1:10" x14ac:dyDescent="0.35">
      <c r="A1" s="66" t="s">
        <v>16</v>
      </c>
      <c r="B1" s="67"/>
      <c r="C1" s="67"/>
      <c r="D1" s="67"/>
      <c r="E1" s="67"/>
      <c r="F1" s="67"/>
      <c r="G1" s="67"/>
      <c r="H1" s="67"/>
      <c r="I1" s="67"/>
      <c r="J1" s="68"/>
    </row>
    <row r="2" spans="1:10" x14ac:dyDescent="0.35">
      <c r="A2" s="69"/>
      <c r="B2" s="70"/>
      <c r="C2" s="70"/>
      <c r="D2" s="70"/>
      <c r="E2" s="70"/>
      <c r="F2" s="70"/>
      <c r="G2" s="70"/>
      <c r="H2" s="70"/>
      <c r="I2" s="70"/>
      <c r="J2" s="71"/>
    </row>
    <row r="3" spans="1:10" x14ac:dyDescent="0.35">
      <c r="A3" s="72" t="s">
        <v>136</v>
      </c>
      <c r="B3" s="73"/>
      <c r="C3" s="73"/>
      <c r="D3" s="73"/>
      <c r="E3" s="73"/>
      <c r="F3" s="73"/>
      <c r="G3" s="73"/>
      <c r="H3" s="73"/>
      <c r="I3" s="73"/>
      <c r="J3" s="74"/>
    </row>
    <row r="4" spans="1:10" x14ac:dyDescent="0.35">
      <c r="A4" s="81"/>
      <c r="B4" s="76"/>
      <c r="C4" s="76"/>
      <c r="D4" s="76"/>
      <c r="E4" s="76"/>
      <c r="F4" s="76"/>
      <c r="G4" s="76"/>
      <c r="H4" s="76"/>
      <c r="I4" s="76"/>
      <c r="J4" s="77"/>
    </row>
    <row r="5" spans="1:10" x14ac:dyDescent="0.35">
      <c r="A5" s="2" t="s">
        <v>11</v>
      </c>
      <c r="B5" s="73">
        <v>881</v>
      </c>
      <c r="C5" s="73"/>
      <c r="D5" s="73"/>
      <c r="E5" s="73"/>
      <c r="F5" s="73"/>
      <c r="G5" s="73"/>
      <c r="H5" s="73"/>
      <c r="I5" s="73"/>
      <c r="J5" s="74"/>
    </row>
    <row r="6" spans="1:10" x14ac:dyDescent="0.35">
      <c r="A6" s="3" t="s">
        <v>12</v>
      </c>
      <c r="B6" s="73" t="s">
        <v>51</v>
      </c>
      <c r="C6" s="73"/>
      <c r="D6" s="73"/>
      <c r="E6" s="73"/>
      <c r="F6" s="73"/>
      <c r="G6" s="73"/>
      <c r="H6" s="73"/>
      <c r="I6" s="73"/>
      <c r="J6" s="74"/>
    </row>
    <row r="7" spans="1:10" x14ac:dyDescent="0.35">
      <c r="A7" s="3" t="s">
        <v>13</v>
      </c>
      <c r="B7" s="73" t="s">
        <v>14</v>
      </c>
      <c r="C7" s="73"/>
      <c r="D7" s="73"/>
      <c r="E7" s="73"/>
      <c r="F7" s="73"/>
      <c r="G7" s="73"/>
      <c r="H7" s="73"/>
      <c r="I7" s="73"/>
      <c r="J7" s="74"/>
    </row>
    <row r="8" spans="1:10" x14ac:dyDescent="0.35">
      <c r="A8" s="3" t="s">
        <v>1</v>
      </c>
      <c r="B8" s="73" t="s">
        <v>17</v>
      </c>
      <c r="C8" s="73"/>
      <c r="D8" s="73"/>
      <c r="E8" s="73"/>
      <c r="F8" s="73"/>
      <c r="G8" s="73"/>
      <c r="H8" s="73"/>
      <c r="I8" s="73"/>
      <c r="J8" s="74"/>
    </row>
    <row r="9" spans="1:10" x14ac:dyDescent="0.35">
      <c r="A9" s="3" t="s">
        <v>15</v>
      </c>
      <c r="B9" s="73">
        <v>3</v>
      </c>
      <c r="C9" s="73"/>
      <c r="D9" s="73"/>
      <c r="E9" s="73"/>
      <c r="F9" s="73"/>
      <c r="G9" s="73"/>
      <c r="H9" s="73"/>
      <c r="I9" s="73"/>
      <c r="J9" s="74"/>
    </row>
    <row r="10" spans="1:10" x14ac:dyDescent="0.35">
      <c r="A10" s="9" t="s">
        <v>18</v>
      </c>
      <c r="B10" s="88">
        <v>0.49</v>
      </c>
      <c r="C10" s="88"/>
      <c r="D10" s="88"/>
      <c r="E10" s="88"/>
      <c r="F10" s="88"/>
      <c r="G10" s="88"/>
      <c r="H10" s="88"/>
      <c r="I10" s="89"/>
      <c r="J10" s="90"/>
    </row>
    <row r="11" spans="1:10" x14ac:dyDescent="0.35">
      <c r="A11" s="4"/>
      <c r="B11" s="75" t="s">
        <v>21</v>
      </c>
      <c r="C11" s="76"/>
      <c r="D11" s="76"/>
      <c r="E11" s="76"/>
      <c r="F11" s="76"/>
      <c r="G11" s="76"/>
      <c r="H11" s="76"/>
      <c r="I11" s="76"/>
      <c r="J11" s="77"/>
    </row>
    <row r="12" spans="1:10" x14ac:dyDescent="0.35">
      <c r="A12" s="4"/>
      <c r="B12" s="14"/>
      <c r="C12" s="15"/>
      <c r="D12" s="15"/>
      <c r="F12" s="15"/>
      <c r="G12" s="15"/>
      <c r="H12" s="15"/>
      <c r="I12" s="18"/>
      <c r="J12" s="16"/>
    </row>
    <row r="13" spans="1:10" ht="15" customHeight="1" x14ac:dyDescent="0.35">
      <c r="A13" s="4"/>
      <c r="B13" s="91" t="s">
        <v>24</v>
      </c>
      <c r="C13" s="91" t="s">
        <v>19</v>
      </c>
      <c r="D13" s="91" t="s">
        <v>20</v>
      </c>
      <c r="E13" s="91" t="s">
        <v>2</v>
      </c>
      <c r="F13" s="76" t="s">
        <v>22</v>
      </c>
      <c r="G13" s="76"/>
      <c r="H13" s="76"/>
      <c r="I13" s="91" t="s">
        <v>70</v>
      </c>
      <c r="J13" s="16"/>
    </row>
    <row r="14" spans="1:10" x14ac:dyDescent="0.35">
      <c r="A14" s="17" t="s">
        <v>9</v>
      </c>
      <c r="B14" s="91"/>
      <c r="C14" s="91"/>
      <c r="D14" s="91"/>
      <c r="E14" s="91"/>
      <c r="F14" s="22" t="s">
        <v>25</v>
      </c>
      <c r="G14" s="5" t="s">
        <v>26</v>
      </c>
      <c r="H14" s="14" t="s">
        <v>23</v>
      </c>
      <c r="I14" s="91"/>
      <c r="J14" s="16" t="s">
        <v>3</v>
      </c>
    </row>
    <row r="15" spans="1:10" x14ac:dyDescent="0.35">
      <c r="A15" s="17">
        <v>9.6</v>
      </c>
      <c r="B15" s="10" t="s">
        <v>29</v>
      </c>
      <c r="C15" s="10">
        <v>1995</v>
      </c>
      <c r="D15" s="10">
        <v>370</v>
      </c>
      <c r="E15" s="10">
        <v>47</v>
      </c>
      <c r="F15" s="10">
        <v>40</v>
      </c>
      <c r="G15" s="10">
        <v>13</v>
      </c>
      <c r="H15" s="10">
        <v>53</v>
      </c>
      <c r="I15" s="10" t="s">
        <v>0</v>
      </c>
      <c r="J15" s="11">
        <v>30</v>
      </c>
    </row>
    <row r="16" spans="1:10" x14ac:dyDescent="0.35">
      <c r="A16" s="17">
        <v>16</v>
      </c>
      <c r="B16" s="10" t="s">
        <v>29</v>
      </c>
      <c r="C16" s="10">
        <v>1995</v>
      </c>
      <c r="D16" s="10">
        <v>385</v>
      </c>
      <c r="E16" s="10">
        <v>41</v>
      </c>
      <c r="F16" s="10">
        <v>50</v>
      </c>
      <c r="G16" s="10">
        <v>9</v>
      </c>
      <c r="H16" s="10">
        <v>59</v>
      </c>
      <c r="I16" s="10" t="s">
        <v>0</v>
      </c>
      <c r="J16" s="11">
        <v>30</v>
      </c>
    </row>
    <row r="17" spans="1:10" x14ac:dyDescent="0.35">
      <c r="A17" s="17">
        <v>16</v>
      </c>
      <c r="B17" s="10" t="s">
        <v>29</v>
      </c>
      <c r="C17" s="10">
        <v>1995</v>
      </c>
      <c r="D17" s="10">
        <v>522</v>
      </c>
      <c r="E17" s="10">
        <v>58</v>
      </c>
      <c r="F17" s="10">
        <v>25</v>
      </c>
      <c r="G17" s="10">
        <v>17</v>
      </c>
      <c r="H17" s="10">
        <v>42</v>
      </c>
      <c r="I17" s="10" t="s">
        <v>0</v>
      </c>
      <c r="J17" s="11">
        <v>30</v>
      </c>
    </row>
    <row r="18" spans="1:10" ht="15" thickBot="1" x14ac:dyDescent="0.4">
      <c r="A18" s="7"/>
      <c r="B18" s="12"/>
      <c r="C18" s="8"/>
      <c r="D18" s="8"/>
      <c r="E18" s="12"/>
      <c r="F18" s="8"/>
      <c r="G18" s="8"/>
      <c r="H18" s="8"/>
      <c r="I18" s="12"/>
      <c r="J18" s="13"/>
    </row>
  </sheetData>
  <mergeCells count="16">
    <mergeCell ref="B7:J7"/>
    <mergeCell ref="A1:J2"/>
    <mergeCell ref="A3:J3"/>
    <mergeCell ref="A4:J4"/>
    <mergeCell ref="B5:J5"/>
    <mergeCell ref="B6:J6"/>
    <mergeCell ref="B8:J8"/>
    <mergeCell ref="B9:J9"/>
    <mergeCell ref="B10:J10"/>
    <mergeCell ref="B11:J11"/>
    <mergeCell ref="B13:B14"/>
    <mergeCell ref="C13:C14"/>
    <mergeCell ref="D13:D14"/>
    <mergeCell ref="E13:E14"/>
    <mergeCell ref="F13:H13"/>
    <mergeCell ref="I13:I14"/>
  </mergeCells>
  <pageMargins left="0.7" right="0.7" top="0.75" bottom="0.75" header="0.3" footer="0.3"/>
  <pageSetup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40BD7-0EAA-4594-BD58-859E04BFA30B}">
  <sheetPr>
    <tabColor rgb="FFFFFF00"/>
  </sheetPr>
  <dimension ref="A1:J18"/>
  <sheetViews>
    <sheetView zoomScale="130" zoomScaleNormal="130" workbookViewId="0">
      <selection activeCell="B25" sqref="B25"/>
    </sheetView>
  </sheetViews>
  <sheetFormatPr defaultColWidth="9.1796875" defaultRowHeight="14.5" x14ac:dyDescent="0.35"/>
  <cols>
    <col min="1" max="1" width="20.1796875" bestFit="1" customWidth="1"/>
    <col min="2" max="2" width="14.26953125" style="1" bestFit="1" customWidth="1"/>
    <col min="3" max="3" width="8.1796875" style="1" customWidth="1"/>
    <col min="4" max="4" width="10.54296875" style="1" customWidth="1"/>
    <col min="5" max="5" width="9.54296875" style="1" customWidth="1"/>
    <col min="6" max="6" width="12.1796875" style="1" customWidth="1"/>
    <col min="7" max="7" width="12.54296875" style="1" customWidth="1"/>
    <col min="8" max="8" width="8.81640625" style="1" bestFit="1" customWidth="1"/>
    <col min="9" max="9" width="14.1796875" style="1" customWidth="1"/>
    <col min="10" max="10" width="7" style="1" bestFit="1" customWidth="1"/>
  </cols>
  <sheetData>
    <row r="1" spans="1:10" x14ac:dyDescent="0.35">
      <c r="A1" s="66" t="s">
        <v>16</v>
      </c>
      <c r="B1" s="67"/>
      <c r="C1" s="67"/>
      <c r="D1" s="67"/>
      <c r="E1" s="67"/>
      <c r="F1" s="67"/>
      <c r="G1" s="67"/>
      <c r="H1" s="67"/>
      <c r="I1" s="67"/>
      <c r="J1" s="68"/>
    </row>
    <row r="2" spans="1:10" x14ac:dyDescent="0.35">
      <c r="A2" s="69"/>
      <c r="B2" s="70"/>
      <c r="C2" s="70"/>
      <c r="D2" s="70"/>
      <c r="E2" s="70"/>
      <c r="F2" s="70"/>
      <c r="G2" s="70"/>
      <c r="H2" s="70"/>
      <c r="I2" s="70"/>
      <c r="J2" s="71"/>
    </row>
    <row r="3" spans="1:10" x14ac:dyDescent="0.35">
      <c r="A3" s="72" t="s">
        <v>136</v>
      </c>
      <c r="B3" s="73"/>
      <c r="C3" s="73"/>
      <c r="D3" s="73"/>
      <c r="E3" s="73"/>
      <c r="F3" s="73"/>
      <c r="G3" s="73"/>
      <c r="H3" s="73"/>
      <c r="I3" s="73"/>
      <c r="J3" s="74"/>
    </row>
    <row r="4" spans="1:10" x14ac:dyDescent="0.35">
      <c r="A4" s="81"/>
      <c r="B4" s="76"/>
      <c r="C4" s="76"/>
      <c r="D4" s="76"/>
      <c r="E4" s="76"/>
      <c r="F4" s="76"/>
      <c r="G4" s="76"/>
      <c r="H4" s="76"/>
      <c r="I4" s="76"/>
      <c r="J4" s="77"/>
    </row>
    <row r="5" spans="1:10" x14ac:dyDescent="0.35">
      <c r="A5" s="2" t="s">
        <v>11</v>
      </c>
      <c r="B5" s="73">
        <v>890</v>
      </c>
      <c r="C5" s="73"/>
      <c r="D5" s="73"/>
      <c r="E5" s="73"/>
      <c r="F5" s="73"/>
      <c r="G5" s="73"/>
      <c r="H5" s="73"/>
      <c r="I5" s="73"/>
      <c r="J5" s="74"/>
    </row>
    <row r="6" spans="1:10" x14ac:dyDescent="0.35">
      <c r="A6" s="3" t="s">
        <v>12</v>
      </c>
      <c r="B6" s="73" t="s">
        <v>144</v>
      </c>
      <c r="C6" s="73"/>
      <c r="D6" s="73"/>
      <c r="E6" s="73"/>
      <c r="F6" s="73"/>
      <c r="G6" s="73"/>
      <c r="H6" s="73"/>
      <c r="I6" s="73"/>
      <c r="J6" s="74"/>
    </row>
    <row r="7" spans="1:10" x14ac:dyDescent="0.35">
      <c r="A7" s="3" t="s">
        <v>13</v>
      </c>
      <c r="B7" s="73" t="s">
        <v>14</v>
      </c>
      <c r="C7" s="73"/>
      <c r="D7" s="73"/>
      <c r="E7" s="73"/>
      <c r="F7" s="73"/>
      <c r="G7" s="73"/>
      <c r="H7" s="73"/>
      <c r="I7" s="73"/>
      <c r="J7" s="74"/>
    </row>
    <row r="8" spans="1:10" x14ac:dyDescent="0.35">
      <c r="A8" s="3" t="s">
        <v>1</v>
      </c>
      <c r="B8" s="73" t="s">
        <v>17</v>
      </c>
      <c r="C8" s="73"/>
      <c r="D8" s="73"/>
      <c r="E8" s="73"/>
      <c r="F8" s="73"/>
      <c r="G8" s="73"/>
      <c r="H8" s="73"/>
      <c r="I8" s="73"/>
      <c r="J8" s="74"/>
    </row>
    <row r="9" spans="1:10" x14ac:dyDescent="0.35">
      <c r="A9" s="3" t="s">
        <v>15</v>
      </c>
      <c r="B9" s="73">
        <v>3</v>
      </c>
      <c r="C9" s="73"/>
      <c r="D9" s="73"/>
      <c r="E9" s="73"/>
      <c r="F9" s="73"/>
      <c r="G9" s="73"/>
      <c r="H9" s="73"/>
      <c r="I9" s="73"/>
      <c r="J9" s="74"/>
    </row>
    <row r="10" spans="1:10" x14ac:dyDescent="0.35">
      <c r="A10" s="9" t="s">
        <v>18</v>
      </c>
      <c r="B10" s="88">
        <v>0.53</v>
      </c>
      <c r="C10" s="88"/>
      <c r="D10" s="88"/>
      <c r="E10" s="88"/>
      <c r="F10" s="88"/>
      <c r="G10" s="88"/>
      <c r="H10" s="88"/>
      <c r="I10" s="89"/>
      <c r="J10" s="90"/>
    </row>
    <row r="11" spans="1:10" x14ac:dyDescent="0.35">
      <c r="A11" s="4"/>
      <c r="B11" s="75" t="s">
        <v>21</v>
      </c>
      <c r="C11" s="76"/>
      <c r="D11" s="76"/>
      <c r="E11" s="76"/>
      <c r="F11" s="76"/>
      <c r="G11" s="76"/>
      <c r="H11" s="76"/>
      <c r="I11" s="76"/>
      <c r="J11" s="77"/>
    </row>
    <row r="12" spans="1:10" x14ac:dyDescent="0.35">
      <c r="A12" s="4"/>
      <c r="B12" s="14"/>
      <c r="C12" s="15"/>
      <c r="D12" s="15"/>
      <c r="F12" s="15"/>
      <c r="G12" s="15"/>
      <c r="H12" s="15"/>
      <c r="I12" s="18"/>
      <c r="J12" s="16"/>
    </row>
    <row r="13" spans="1:10" ht="15" customHeight="1" x14ac:dyDescent="0.35">
      <c r="A13" s="4"/>
      <c r="B13" s="91" t="s">
        <v>24</v>
      </c>
      <c r="C13" s="91" t="s">
        <v>19</v>
      </c>
      <c r="D13" s="91" t="s">
        <v>20</v>
      </c>
      <c r="E13" s="91" t="s">
        <v>2</v>
      </c>
      <c r="F13" s="76" t="s">
        <v>22</v>
      </c>
      <c r="G13" s="76"/>
      <c r="H13" s="76"/>
      <c r="I13" s="91" t="s">
        <v>70</v>
      </c>
      <c r="J13" s="16"/>
    </row>
    <row r="14" spans="1:10" x14ac:dyDescent="0.35">
      <c r="A14" s="17" t="s">
        <v>9</v>
      </c>
      <c r="B14" s="91"/>
      <c r="C14" s="91"/>
      <c r="D14" s="91"/>
      <c r="E14" s="91"/>
      <c r="F14" s="22" t="s">
        <v>25</v>
      </c>
      <c r="G14" s="5" t="s">
        <v>26</v>
      </c>
      <c r="H14" s="14" t="s">
        <v>23</v>
      </c>
      <c r="I14" s="91"/>
      <c r="J14" s="16" t="s">
        <v>3</v>
      </c>
    </row>
    <row r="15" spans="1:10" x14ac:dyDescent="0.35">
      <c r="A15" s="17">
        <v>17</v>
      </c>
      <c r="B15" s="10" t="s">
        <v>29</v>
      </c>
      <c r="C15" s="10">
        <v>1994</v>
      </c>
      <c r="D15" s="10">
        <v>39</v>
      </c>
      <c r="E15" s="10">
        <v>69</v>
      </c>
      <c r="F15" s="10" t="s">
        <v>0</v>
      </c>
      <c r="G15" s="10" t="s">
        <v>0</v>
      </c>
      <c r="H15" s="10">
        <v>31</v>
      </c>
      <c r="I15" s="10" t="s">
        <v>0</v>
      </c>
      <c r="J15" s="11">
        <v>30</v>
      </c>
    </row>
    <row r="16" spans="1:10" x14ac:dyDescent="0.35">
      <c r="A16" s="17">
        <v>24</v>
      </c>
      <c r="B16" s="10" t="s">
        <v>29</v>
      </c>
      <c r="C16" s="10">
        <v>1991</v>
      </c>
      <c r="D16" s="10">
        <v>103</v>
      </c>
      <c r="E16" s="10">
        <v>42</v>
      </c>
      <c r="F16" s="10" t="s">
        <v>0</v>
      </c>
      <c r="G16" s="10" t="s">
        <v>0</v>
      </c>
      <c r="H16" s="10">
        <v>58</v>
      </c>
      <c r="I16" s="10" t="s">
        <v>0</v>
      </c>
      <c r="J16" s="11">
        <v>30</v>
      </c>
    </row>
    <row r="17" spans="1:10" x14ac:dyDescent="0.35">
      <c r="A17" s="17">
        <v>41</v>
      </c>
      <c r="B17" s="10" t="s">
        <v>29</v>
      </c>
      <c r="C17" s="10">
        <v>1995</v>
      </c>
      <c r="D17" s="10">
        <v>212</v>
      </c>
      <c r="E17" s="10">
        <v>49</v>
      </c>
      <c r="F17" s="10">
        <v>20</v>
      </c>
      <c r="G17" s="10">
        <v>31</v>
      </c>
      <c r="H17" s="10">
        <v>51</v>
      </c>
      <c r="I17" s="10" t="s">
        <v>0</v>
      </c>
      <c r="J17" s="11">
        <v>30</v>
      </c>
    </row>
    <row r="18" spans="1:10" ht="15" thickBot="1" x14ac:dyDescent="0.4">
      <c r="A18" s="7"/>
      <c r="B18" s="12"/>
      <c r="C18" s="8"/>
      <c r="D18" s="8"/>
      <c r="E18" s="12"/>
      <c r="F18" s="8"/>
      <c r="G18" s="8"/>
      <c r="H18" s="8"/>
      <c r="I18" s="12"/>
      <c r="J18" s="13"/>
    </row>
  </sheetData>
  <mergeCells count="16">
    <mergeCell ref="B7:J7"/>
    <mergeCell ref="A1:J2"/>
    <mergeCell ref="A3:J3"/>
    <mergeCell ref="A4:J4"/>
    <mergeCell ref="B5:J5"/>
    <mergeCell ref="B6:J6"/>
    <mergeCell ref="B8:J8"/>
    <mergeCell ref="B9:J9"/>
    <mergeCell ref="B10:J10"/>
    <mergeCell ref="B11:J11"/>
    <mergeCell ref="B13:B14"/>
    <mergeCell ref="C13:C14"/>
    <mergeCell ref="D13:D14"/>
    <mergeCell ref="E13:E14"/>
    <mergeCell ref="F13:H13"/>
    <mergeCell ref="I13:I14"/>
  </mergeCells>
  <pageMargins left="0.7" right="0.7" top="0.75" bottom="0.75" header="0.3" footer="0.3"/>
  <pageSetup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C02F1-9A08-4044-B768-9EBC36D29E49}">
  <sheetPr>
    <tabColor rgb="FFFFFF00"/>
  </sheetPr>
  <dimension ref="A1:J23"/>
  <sheetViews>
    <sheetView zoomScale="130" zoomScaleNormal="130" workbookViewId="0">
      <selection activeCell="A4" sqref="A4:K4"/>
    </sheetView>
  </sheetViews>
  <sheetFormatPr defaultColWidth="9.1796875" defaultRowHeight="14.5" x14ac:dyDescent="0.35"/>
  <cols>
    <col min="1" max="1" width="20.1796875" bestFit="1" customWidth="1"/>
    <col min="2" max="2" width="14.26953125" style="1" bestFit="1" customWidth="1"/>
    <col min="3" max="3" width="8.1796875" style="1" customWidth="1"/>
    <col min="4" max="4" width="10.54296875" style="1" customWidth="1"/>
    <col min="5" max="5" width="9.54296875" style="1" customWidth="1"/>
    <col min="6" max="6" width="12.1796875" style="1" customWidth="1"/>
    <col min="7" max="7" width="12.54296875" style="1" customWidth="1"/>
    <col min="8" max="8" width="8.81640625" style="1" bestFit="1" customWidth="1"/>
    <col min="9" max="9" width="14.1796875" style="1" customWidth="1"/>
    <col min="10" max="10" width="7" style="1" bestFit="1" customWidth="1"/>
  </cols>
  <sheetData>
    <row r="1" spans="1:10" x14ac:dyDescent="0.35">
      <c r="A1" s="66" t="s">
        <v>16</v>
      </c>
      <c r="B1" s="67"/>
      <c r="C1" s="67"/>
      <c r="D1" s="67"/>
      <c r="E1" s="67"/>
      <c r="F1" s="67"/>
      <c r="G1" s="67"/>
      <c r="H1" s="67"/>
      <c r="I1" s="67"/>
      <c r="J1" s="68"/>
    </row>
    <row r="2" spans="1:10" x14ac:dyDescent="0.35">
      <c r="A2" s="69"/>
      <c r="B2" s="70"/>
      <c r="C2" s="70"/>
      <c r="D2" s="70"/>
      <c r="E2" s="70"/>
      <c r="F2" s="70"/>
      <c r="G2" s="70"/>
      <c r="H2" s="70"/>
      <c r="I2" s="70"/>
      <c r="J2" s="71"/>
    </row>
    <row r="3" spans="1:10" x14ac:dyDescent="0.35">
      <c r="A3" s="72" t="s">
        <v>136</v>
      </c>
      <c r="B3" s="73"/>
      <c r="C3" s="73"/>
      <c r="D3" s="73"/>
      <c r="E3" s="73"/>
      <c r="F3" s="73"/>
      <c r="G3" s="73"/>
      <c r="H3" s="73"/>
      <c r="I3" s="73"/>
      <c r="J3" s="74"/>
    </row>
    <row r="4" spans="1:10" x14ac:dyDescent="0.35">
      <c r="A4" s="81"/>
      <c r="B4" s="76"/>
      <c r="C4" s="76"/>
      <c r="D4" s="76"/>
      <c r="E4" s="76"/>
      <c r="F4" s="76"/>
      <c r="G4" s="76"/>
      <c r="H4" s="76"/>
      <c r="I4" s="76"/>
      <c r="J4" s="77"/>
    </row>
    <row r="5" spans="1:10" x14ac:dyDescent="0.35">
      <c r="A5" s="2" t="s">
        <v>11</v>
      </c>
      <c r="B5" s="73">
        <v>912</v>
      </c>
      <c r="C5" s="73"/>
      <c r="D5" s="73"/>
      <c r="E5" s="73"/>
      <c r="F5" s="73"/>
      <c r="G5" s="73"/>
      <c r="H5" s="73"/>
      <c r="I5" s="73"/>
      <c r="J5" s="74"/>
    </row>
    <row r="6" spans="1:10" x14ac:dyDescent="0.35">
      <c r="A6" s="3" t="s">
        <v>12</v>
      </c>
      <c r="B6" s="73" t="s">
        <v>52</v>
      </c>
      <c r="C6" s="73"/>
      <c r="D6" s="73"/>
      <c r="E6" s="73"/>
      <c r="F6" s="73"/>
      <c r="G6" s="73"/>
      <c r="H6" s="73"/>
      <c r="I6" s="73"/>
      <c r="J6" s="74"/>
    </row>
    <row r="7" spans="1:10" x14ac:dyDescent="0.35">
      <c r="A7" s="3" t="s">
        <v>13</v>
      </c>
      <c r="B7" s="73" t="s">
        <v>14</v>
      </c>
      <c r="C7" s="73"/>
      <c r="D7" s="73"/>
      <c r="E7" s="73"/>
      <c r="F7" s="73"/>
      <c r="G7" s="73"/>
      <c r="H7" s="73"/>
      <c r="I7" s="73"/>
      <c r="J7" s="74"/>
    </row>
    <row r="8" spans="1:10" x14ac:dyDescent="0.35">
      <c r="A8" s="3" t="s">
        <v>1</v>
      </c>
      <c r="B8" s="73" t="s">
        <v>53</v>
      </c>
      <c r="C8" s="73"/>
      <c r="D8" s="73"/>
      <c r="E8" s="73"/>
      <c r="F8" s="73"/>
      <c r="G8" s="73"/>
      <c r="H8" s="73"/>
      <c r="I8" s="73"/>
      <c r="J8" s="74"/>
    </row>
    <row r="9" spans="1:10" x14ac:dyDescent="0.35">
      <c r="A9" s="3" t="s">
        <v>15</v>
      </c>
      <c r="B9" s="73">
        <v>8</v>
      </c>
      <c r="C9" s="73"/>
      <c r="D9" s="73"/>
      <c r="E9" s="73"/>
      <c r="F9" s="73"/>
      <c r="G9" s="73"/>
      <c r="H9" s="73"/>
      <c r="I9" s="73"/>
      <c r="J9" s="74"/>
    </row>
    <row r="10" spans="1:10" x14ac:dyDescent="0.35">
      <c r="A10" s="9" t="s">
        <v>18</v>
      </c>
      <c r="B10" s="88">
        <v>0.28999999999999998</v>
      </c>
      <c r="C10" s="88"/>
      <c r="D10" s="88"/>
      <c r="E10" s="88"/>
      <c r="F10" s="88"/>
      <c r="G10" s="88"/>
      <c r="H10" s="88"/>
      <c r="I10" s="89"/>
      <c r="J10" s="90"/>
    </row>
    <row r="11" spans="1:10" x14ac:dyDescent="0.35">
      <c r="A11" s="4"/>
      <c r="B11" s="75" t="s">
        <v>21</v>
      </c>
      <c r="C11" s="76"/>
      <c r="D11" s="76"/>
      <c r="E11" s="76"/>
      <c r="F11" s="76"/>
      <c r="G11" s="76"/>
      <c r="H11" s="76"/>
      <c r="I11" s="76"/>
      <c r="J11" s="77"/>
    </row>
    <row r="12" spans="1:10" x14ac:dyDescent="0.35">
      <c r="A12" s="4"/>
      <c r="B12" s="14"/>
      <c r="C12" s="15"/>
      <c r="D12" s="15"/>
      <c r="F12" s="15"/>
      <c r="G12" s="15"/>
      <c r="H12" s="15"/>
      <c r="I12" s="18"/>
      <c r="J12" s="16"/>
    </row>
    <row r="13" spans="1:10" ht="15" customHeight="1" x14ac:dyDescent="0.35">
      <c r="A13" s="4"/>
      <c r="B13" s="91" t="s">
        <v>24</v>
      </c>
      <c r="C13" s="91" t="s">
        <v>19</v>
      </c>
      <c r="D13" s="91" t="s">
        <v>20</v>
      </c>
      <c r="E13" s="91" t="s">
        <v>2</v>
      </c>
      <c r="F13" s="76" t="s">
        <v>22</v>
      </c>
      <c r="G13" s="76"/>
      <c r="H13" s="76"/>
      <c r="I13" s="91" t="s">
        <v>70</v>
      </c>
      <c r="J13" s="16"/>
    </row>
    <row r="14" spans="1:10" x14ac:dyDescent="0.35">
      <c r="A14" s="17" t="s">
        <v>9</v>
      </c>
      <c r="B14" s="91"/>
      <c r="C14" s="91"/>
      <c r="D14" s="91"/>
      <c r="E14" s="91"/>
      <c r="F14" s="22" t="s">
        <v>25</v>
      </c>
      <c r="G14" s="5" t="s">
        <v>26</v>
      </c>
      <c r="H14" s="14" t="s">
        <v>23</v>
      </c>
      <c r="I14" s="91"/>
      <c r="J14" s="16" t="s">
        <v>3</v>
      </c>
    </row>
    <row r="15" spans="1:10" x14ac:dyDescent="0.35">
      <c r="A15" s="17">
        <v>3.8</v>
      </c>
      <c r="B15" s="10" t="s">
        <v>35</v>
      </c>
      <c r="C15" s="10">
        <v>2005</v>
      </c>
      <c r="D15" s="10">
        <v>11</v>
      </c>
      <c r="E15" s="10">
        <v>27</v>
      </c>
      <c r="F15" s="10" t="s">
        <v>0</v>
      </c>
      <c r="G15" s="10" t="s">
        <v>0</v>
      </c>
      <c r="H15" s="10">
        <v>73</v>
      </c>
      <c r="I15" s="10" t="s">
        <v>0</v>
      </c>
      <c r="J15" s="11">
        <v>19</v>
      </c>
    </row>
    <row r="16" spans="1:10" x14ac:dyDescent="0.35">
      <c r="A16" s="17">
        <v>3.8</v>
      </c>
      <c r="B16" s="10" t="s">
        <v>35</v>
      </c>
      <c r="C16" s="10">
        <v>2005</v>
      </c>
      <c r="D16" s="10">
        <v>9</v>
      </c>
      <c r="E16" s="10">
        <v>24</v>
      </c>
      <c r="F16" s="10" t="s">
        <v>0</v>
      </c>
      <c r="G16" s="10" t="s">
        <v>0</v>
      </c>
      <c r="H16" s="10">
        <v>76</v>
      </c>
      <c r="I16" s="10" t="s">
        <v>0</v>
      </c>
      <c r="J16" s="11">
        <v>19</v>
      </c>
    </row>
    <row r="17" spans="1:10" x14ac:dyDescent="0.35">
      <c r="A17" s="17">
        <v>3.8</v>
      </c>
      <c r="B17" s="10" t="s">
        <v>35</v>
      </c>
      <c r="C17" s="10">
        <v>2005</v>
      </c>
      <c r="D17" s="10">
        <v>22</v>
      </c>
      <c r="E17" s="10">
        <v>34</v>
      </c>
      <c r="F17" s="10" t="s">
        <v>0</v>
      </c>
      <c r="G17" s="10" t="s">
        <v>0</v>
      </c>
      <c r="H17" s="10">
        <v>66</v>
      </c>
      <c r="I17" s="10" t="s">
        <v>0</v>
      </c>
      <c r="J17" s="11">
        <v>19</v>
      </c>
    </row>
    <row r="18" spans="1:10" x14ac:dyDescent="0.35">
      <c r="A18" s="17">
        <v>3.8</v>
      </c>
      <c r="B18" s="10" t="s">
        <v>35</v>
      </c>
      <c r="C18" s="10">
        <v>2005</v>
      </c>
      <c r="D18" s="10">
        <v>30</v>
      </c>
      <c r="E18" s="10">
        <v>27</v>
      </c>
      <c r="F18" s="10" t="s">
        <v>0</v>
      </c>
      <c r="G18" s="10" t="s">
        <v>0</v>
      </c>
      <c r="H18" s="10">
        <v>73</v>
      </c>
      <c r="I18" s="10" t="s">
        <v>0</v>
      </c>
      <c r="J18" s="11">
        <v>19</v>
      </c>
    </row>
    <row r="19" spans="1:10" x14ac:dyDescent="0.35">
      <c r="A19" s="17">
        <v>3.8</v>
      </c>
      <c r="B19" s="10" t="s">
        <v>35</v>
      </c>
      <c r="C19" s="10">
        <v>2005</v>
      </c>
      <c r="D19" s="10">
        <v>34</v>
      </c>
      <c r="E19" s="10">
        <v>40</v>
      </c>
      <c r="F19" s="10" t="s">
        <v>0</v>
      </c>
      <c r="G19" s="10" t="s">
        <v>0</v>
      </c>
      <c r="H19" s="10">
        <v>60</v>
      </c>
      <c r="I19" s="10" t="s">
        <v>0</v>
      </c>
      <c r="J19" s="11">
        <v>19</v>
      </c>
    </row>
    <row r="20" spans="1:10" x14ac:dyDescent="0.35">
      <c r="A20" s="17">
        <v>3.8</v>
      </c>
      <c r="B20" s="10" t="s">
        <v>35</v>
      </c>
      <c r="C20" s="10">
        <v>2005</v>
      </c>
      <c r="D20" s="10">
        <v>7</v>
      </c>
      <c r="E20" s="10">
        <v>27</v>
      </c>
      <c r="F20" s="10" t="s">
        <v>0</v>
      </c>
      <c r="G20" s="10" t="s">
        <v>0</v>
      </c>
      <c r="H20" s="10">
        <v>73</v>
      </c>
      <c r="I20" s="10" t="s">
        <v>0</v>
      </c>
      <c r="J20" s="11">
        <v>19</v>
      </c>
    </row>
    <row r="21" spans="1:10" x14ac:dyDescent="0.35">
      <c r="A21" s="17">
        <v>3.8</v>
      </c>
      <c r="B21" s="10" t="s">
        <v>35</v>
      </c>
      <c r="C21" s="10">
        <v>2005</v>
      </c>
      <c r="D21" s="10">
        <v>15</v>
      </c>
      <c r="E21" s="10">
        <v>16</v>
      </c>
      <c r="F21" s="10" t="s">
        <v>0</v>
      </c>
      <c r="G21" s="10" t="s">
        <v>0</v>
      </c>
      <c r="H21" s="10">
        <v>84</v>
      </c>
      <c r="I21" s="10" t="s">
        <v>0</v>
      </c>
      <c r="J21" s="11">
        <v>19</v>
      </c>
    </row>
    <row r="22" spans="1:10" x14ac:dyDescent="0.35">
      <c r="A22" s="17">
        <v>3.8</v>
      </c>
      <c r="B22" s="10" t="s">
        <v>35</v>
      </c>
      <c r="C22" s="10">
        <v>2005</v>
      </c>
      <c r="D22" s="10">
        <v>27</v>
      </c>
      <c r="E22" s="10">
        <v>36</v>
      </c>
      <c r="F22" s="10" t="s">
        <v>0</v>
      </c>
      <c r="G22" s="10" t="s">
        <v>0</v>
      </c>
      <c r="H22" s="10">
        <v>64</v>
      </c>
      <c r="I22" s="10" t="s">
        <v>0</v>
      </c>
      <c r="J22" s="11">
        <v>19</v>
      </c>
    </row>
    <row r="23" spans="1:10" ht="15" thickBot="1" x14ac:dyDescent="0.4">
      <c r="A23" s="7"/>
      <c r="B23" s="12"/>
      <c r="C23" s="8"/>
      <c r="D23" s="8"/>
      <c r="E23" s="12"/>
      <c r="F23" s="8"/>
      <c r="G23" s="8"/>
      <c r="H23" s="8"/>
      <c r="I23" s="12"/>
      <c r="J23" s="13"/>
    </row>
  </sheetData>
  <mergeCells count="16">
    <mergeCell ref="B7:J7"/>
    <mergeCell ref="A1:J2"/>
    <mergeCell ref="A3:J3"/>
    <mergeCell ref="A4:J4"/>
    <mergeCell ref="B5:J5"/>
    <mergeCell ref="B6:J6"/>
    <mergeCell ref="B8:J8"/>
    <mergeCell ref="B9:J9"/>
    <mergeCell ref="B10:J10"/>
    <mergeCell ref="B11:J11"/>
    <mergeCell ref="B13:B14"/>
    <mergeCell ref="C13:C14"/>
    <mergeCell ref="D13:D14"/>
    <mergeCell ref="E13:E14"/>
    <mergeCell ref="F13:H13"/>
    <mergeCell ref="I13:I14"/>
  </mergeCells>
  <pageMargins left="0.7" right="0.7" top="0.75" bottom="0.75" header="0.3" footer="0.3"/>
  <pageSetup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F02CA-0D19-4846-ACCE-2B7F42C6D120}">
  <sheetPr>
    <tabColor rgb="FFFFFF00"/>
  </sheetPr>
  <dimension ref="A1:J19"/>
  <sheetViews>
    <sheetView zoomScale="130" zoomScaleNormal="130" workbookViewId="0">
      <selection activeCell="B9" sqref="B9:J9"/>
    </sheetView>
  </sheetViews>
  <sheetFormatPr defaultColWidth="9.1796875" defaultRowHeight="14.5" x14ac:dyDescent="0.35"/>
  <cols>
    <col min="1" max="1" width="20.1796875" bestFit="1" customWidth="1"/>
    <col min="2" max="2" width="14.26953125" style="1" bestFit="1" customWidth="1"/>
    <col min="3" max="3" width="8.1796875" style="1" customWidth="1"/>
    <col min="4" max="4" width="10.54296875" style="1" customWidth="1"/>
    <col min="5" max="5" width="9.54296875" style="1" customWidth="1"/>
    <col min="6" max="6" width="12.1796875" style="1" customWidth="1"/>
    <col min="7" max="7" width="12.54296875" style="1" customWidth="1"/>
    <col min="8" max="8" width="8.81640625" style="1" bestFit="1" customWidth="1"/>
    <col min="9" max="9" width="14.1796875" style="1" customWidth="1"/>
    <col min="10" max="10" width="7" style="1" bestFit="1" customWidth="1"/>
  </cols>
  <sheetData>
    <row r="1" spans="1:10" x14ac:dyDescent="0.35">
      <c r="A1" s="66" t="s">
        <v>16</v>
      </c>
      <c r="B1" s="67"/>
      <c r="C1" s="67"/>
      <c r="D1" s="67"/>
      <c r="E1" s="67"/>
      <c r="F1" s="67"/>
      <c r="G1" s="67"/>
      <c r="H1" s="67"/>
      <c r="I1" s="67"/>
      <c r="J1" s="68"/>
    </row>
    <row r="2" spans="1:10" x14ac:dyDescent="0.35">
      <c r="A2" s="69"/>
      <c r="B2" s="70"/>
      <c r="C2" s="70"/>
      <c r="D2" s="70"/>
      <c r="E2" s="70"/>
      <c r="F2" s="70"/>
      <c r="G2" s="70"/>
      <c r="H2" s="70"/>
      <c r="I2" s="70"/>
      <c r="J2" s="71"/>
    </row>
    <row r="3" spans="1:10" x14ac:dyDescent="0.35">
      <c r="A3" s="72" t="s">
        <v>136</v>
      </c>
      <c r="B3" s="73"/>
      <c r="C3" s="73"/>
      <c r="D3" s="73"/>
      <c r="E3" s="73"/>
      <c r="F3" s="73"/>
      <c r="G3" s="73"/>
      <c r="H3" s="73"/>
      <c r="I3" s="73"/>
      <c r="J3" s="74"/>
    </row>
    <row r="4" spans="1:10" x14ac:dyDescent="0.35">
      <c r="A4" s="81"/>
      <c r="B4" s="76"/>
      <c r="C4" s="76"/>
      <c r="D4" s="76"/>
      <c r="E4" s="76"/>
      <c r="F4" s="76"/>
      <c r="G4" s="76"/>
      <c r="H4" s="76"/>
      <c r="I4" s="76"/>
      <c r="J4" s="77"/>
    </row>
    <row r="5" spans="1:10" x14ac:dyDescent="0.35">
      <c r="A5" s="2" t="s">
        <v>11</v>
      </c>
      <c r="B5" s="73">
        <v>912</v>
      </c>
      <c r="C5" s="73"/>
      <c r="D5" s="73"/>
      <c r="E5" s="73"/>
      <c r="F5" s="73"/>
      <c r="G5" s="73"/>
      <c r="H5" s="73"/>
      <c r="I5" s="73"/>
      <c r="J5" s="74"/>
    </row>
    <row r="6" spans="1:10" x14ac:dyDescent="0.35">
      <c r="A6" s="3" t="s">
        <v>12</v>
      </c>
      <c r="B6" s="73" t="s">
        <v>52</v>
      </c>
      <c r="C6" s="73"/>
      <c r="D6" s="73"/>
      <c r="E6" s="73"/>
      <c r="F6" s="73"/>
      <c r="G6" s="73"/>
      <c r="H6" s="73"/>
      <c r="I6" s="73"/>
      <c r="J6" s="74"/>
    </row>
    <row r="7" spans="1:10" x14ac:dyDescent="0.35">
      <c r="A7" s="3" t="s">
        <v>13</v>
      </c>
      <c r="B7" s="73" t="s">
        <v>14</v>
      </c>
      <c r="C7" s="73"/>
      <c r="D7" s="73"/>
      <c r="E7" s="73"/>
      <c r="F7" s="73"/>
      <c r="G7" s="73"/>
      <c r="H7" s="73"/>
      <c r="I7" s="73"/>
      <c r="J7" s="74"/>
    </row>
    <row r="8" spans="1:10" x14ac:dyDescent="0.35">
      <c r="A8" s="3" t="s">
        <v>1</v>
      </c>
      <c r="B8" s="73" t="s">
        <v>8</v>
      </c>
      <c r="C8" s="73"/>
      <c r="D8" s="73"/>
      <c r="E8" s="73"/>
      <c r="F8" s="73"/>
      <c r="G8" s="73"/>
      <c r="H8" s="73"/>
      <c r="I8" s="73"/>
      <c r="J8" s="74"/>
    </row>
    <row r="9" spans="1:10" x14ac:dyDescent="0.35">
      <c r="A9" s="3" t="s">
        <v>15</v>
      </c>
      <c r="B9" s="73">
        <v>4</v>
      </c>
      <c r="C9" s="73"/>
      <c r="D9" s="73"/>
      <c r="E9" s="73"/>
      <c r="F9" s="73"/>
      <c r="G9" s="73"/>
      <c r="H9" s="73"/>
      <c r="I9" s="73"/>
      <c r="J9" s="74"/>
    </row>
    <row r="10" spans="1:10" x14ac:dyDescent="0.35">
      <c r="A10" s="9" t="s">
        <v>18</v>
      </c>
      <c r="B10" s="88">
        <v>0.26</v>
      </c>
      <c r="C10" s="88"/>
      <c r="D10" s="88"/>
      <c r="E10" s="88"/>
      <c r="F10" s="88"/>
      <c r="G10" s="88"/>
      <c r="H10" s="88"/>
      <c r="I10" s="89"/>
      <c r="J10" s="90"/>
    </row>
    <row r="11" spans="1:10" x14ac:dyDescent="0.35">
      <c r="A11" s="4"/>
      <c r="B11" s="75" t="s">
        <v>21</v>
      </c>
      <c r="C11" s="76"/>
      <c r="D11" s="76"/>
      <c r="E11" s="76"/>
      <c r="F11" s="76"/>
      <c r="G11" s="76"/>
      <c r="H11" s="76"/>
      <c r="I11" s="76"/>
      <c r="J11" s="77"/>
    </row>
    <row r="12" spans="1:10" x14ac:dyDescent="0.35">
      <c r="A12" s="4"/>
      <c r="B12" s="14"/>
      <c r="C12" s="15"/>
      <c r="D12" s="15"/>
      <c r="F12" s="15"/>
      <c r="G12" s="15"/>
      <c r="H12" s="15"/>
      <c r="I12" s="18"/>
      <c r="J12" s="16"/>
    </row>
    <row r="13" spans="1:10" ht="15" customHeight="1" x14ac:dyDescent="0.35">
      <c r="A13" s="4"/>
      <c r="B13" s="91" t="s">
        <v>24</v>
      </c>
      <c r="C13" s="91" t="s">
        <v>19</v>
      </c>
      <c r="D13" s="91" t="s">
        <v>20</v>
      </c>
      <c r="E13" s="91" t="s">
        <v>2</v>
      </c>
      <c r="F13" s="76" t="s">
        <v>22</v>
      </c>
      <c r="G13" s="76"/>
      <c r="H13" s="76"/>
      <c r="I13" s="91" t="s">
        <v>70</v>
      </c>
      <c r="J13" s="16"/>
    </row>
    <row r="14" spans="1:10" x14ac:dyDescent="0.35">
      <c r="A14" s="17" t="s">
        <v>9</v>
      </c>
      <c r="B14" s="91"/>
      <c r="C14" s="91"/>
      <c r="D14" s="91"/>
      <c r="E14" s="91"/>
      <c r="F14" s="22" t="s">
        <v>25</v>
      </c>
      <c r="G14" s="5" t="s">
        <v>26</v>
      </c>
      <c r="H14" s="14" t="s">
        <v>23</v>
      </c>
      <c r="I14" s="91"/>
      <c r="J14" s="16" t="s">
        <v>3</v>
      </c>
    </row>
    <row r="15" spans="1:10" x14ac:dyDescent="0.35">
      <c r="A15" s="17">
        <v>2.7</v>
      </c>
      <c r="B15" s="10" t="s">
        <v>71</v>
      </c>
      <c r="C15" s="10">
        <v>2007</v>
      </c>
      <c r="D15" s="10" t="s">
        <v>0</v>
      </c>
      <c r="E15" s="10">
        <v>26</v>
      </c>
      <c r="F15" s="10">
        <v>58</v>
      </c>
      <c r="G15" s="10">
        <v>16</v>
      </c>
      <c r="H15" s="10">
        <v>74</v>
      </c>
      <c r="I15" s="10" t="s">
        <v>0</v>
      </c>
      <c r="J15" s="11">
        <v>11</v>
      </c>
    </row>
    <row r="16" spans="1:10" x14ac:dyDescent="0.35">
      <c r="A16" s="17">
        <v>2.8</v>
      </c>
      <c r="B16" s="10" t="s">
        <v>71</v>
      </c>
      <c r="C16" s="10">
        <v>2007</v>
      </c>
      <c r="D16" s="10" t="s">
        <v>0</v>
      </c>
      <c r="E16" s="10">
        <v>30</v>
      </c>
      <c r="F16" s="10">
        <v>53</v>
      </c>
      <c r="G16" s="10">
        <v>17</v>
      </c>
      <c r="H16" s="10">
        <v>70</v>
      </c>
      <c r="I16" s="10" t="s">
        <v>0</v>
      </c>
      <c r="J16" s="11">
        <v>11</v>
      </c>
    </row>
    <row r="17" spans="1:10" x14ac:dyDescent="0.35">
      <c r="A17" s="17">
        <v>3.6</v>
      </c>
      <c r="B17" s="10" t="s">
        <v>71</v>
      </c>
      <c r="C17" s="10">
        <v>2007</v>
      </c>
      <c r="D17" s="10" t="s">
        <v>0</v>
      </c>
      <c r="E17" s="10">
        <v>34</v>
      </c>
      <c r="F17" s="10">
        <v>42</v>
      </c>
      <c r="G17" s="10">
        <v>24</v>
      </c>
      <c r="H17" s="10">
        <v>66</v>
      </c>
      <c r="I17" s="10" t="s">
        <v>0</v>
      </c>
      <c r="J17" s="11">
        <v>11</v>
      </c>
    </row>
    <row r="18" spans="1:10" x14ac:dyDescent="0.35">
      <c r="A18" s="17">
        <v>3.6</v>
      </c>
      <c r="B18" s="10" t="s">
        <v>71</v>
      </c>
      <c r="C18" s="10">
        <v>2007</v>
      </c>
      <c r="D18" s="10" t="s">
        <v>0</v>
      </c>
      <c r="E18" s="10">
        <v>15</v>
      </c>
      <c r="F18" s="10" t="s">
        <v>0</v>
      </c>
      <c r="G18" s="10" t="s">
        <v>0</v>
      </c>
      <c r="H18" s="10">
        <v>85</v>
      </c>
      <c r="I18" s="10" t="s">
        <v>0</v>
      </c>
      <c r="J18" s="11">
        <v>11</v>
      </c>
    </row>
    <row r="19" spans="1:10" ht="15" thickBot="1" x14ac:dyDescent="0.4">
      <c r="A19" s="7"/>
      <c r="B19" s="12"/>
      <c r="C19" s="8"/>
      <c r="D19" s="8"/>
      <c r="E19" s="12"/>
      <c r="F19" s="8"/>
      <c r="G19" s="8"/>
      <c r="H19" s="8"/>
      <c r="I19" s="12"/>
      <c r="J19" s="13"/>
    </row>
  </sheetData>
  <mergeCells count="16">
    <mergeCell ref="B7:J7"/>
    <mergeCell ref="A1:J2"/>
    <mergeCell ref="A3:J3"/>
    <mergeCell ref="A4:J4"/>
    <mergeCell ref="B5:J5"/>
    <mergeCell ref="B6:J6"/>
    <mergeCell ref="B8:J8"/>
    <mergeCell ref="B9:J9"/>
    <mergeCell ref="B10:J10"/>
    <mergeCell ref="B11:J11"/>
    <mergeCell ref="B13:B14"/>
    <mergeCell ref="C13:C14"/>
    <mergeCell ref="D13:D14"/>
    <mergeCell ref="E13:E14"/>
    <mergeCell ref="F13:H13"/>
    <mergeCell ref="I13:I14"/>
  </mergeCells>
  <pageMargins left="0.7" right="0.7" top="0.75" bottom="0.75" header="0.3" footer="0.3"/>
  <pageSetup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150D4-E7F2-46FF-8288-6FB2D94B443C}">
  <sheetPr>
    <tabColor rgb="FFFFFF00"/>
  </sheetPr>
  <dimension ref="A1:J34"/>
  <sheetViews>
    <sheetView topLeftCell="A4" zoomScale="130" zoomScaleNormal="130" workbookViewId="0">
      <selection activeCell="A4" sqref="A4:K4"/>
    </sheetView>
  </sheetViews>
  <sheetFormatPr defaultColWidth="9.1796875" defaultRowHeight="14.5" x14ac:dyDescent="0.35"/>
  <cols>
    <col min="1" max="1" width="20.1796875" bestFit="1" customWidth="1"/>
    <col min="2" max="2" width="14.26953125" style="1" bestFit="1" customWidth="1"/>
    <col min="3" max="3" width="8.1796875" style="1" customWidth="1"/>
    <col min="4" max="4" width="10.54296875" style="1" customWidth="1"/>
    <col min="5" max="5" width="9.54296875" style="1" customWidth="1"/>
    <col min="6" max="6" width="12.1796875" style="1" customWidth="1"/>
    <col min="7" max="7" width="12.54296875" style="1" customWidth="1"/>
    <col min="8" max="8" width="8.81640625" style="1" bestFit="1" customWidth="1"/>
    <col min="9" max="9" width="14.1796875" style="1" customWidth="1"/>
    <col min="10" max="10" width="7" style="1" bestFit="1" customWidth="1"/>
  </cols>
  <sheetData>
    <row r="1" spans="1:10" x14ac:dyDescent="0.35">
      <c r="A1" s="66" t="s">
        <v>16</v>
      </c>
      <c r="B1" s="67"/>
      <c r="C1" s="67"/>
      <c r="D1" s="67"/>
      <c r="E1" s="67"/>
      <c r="F1" s="67"/>
      <c r="G1" s="67"/>
      <c r="H1" s="67"/>
      <c r="I1" s="67"/>
      <c r="J1" s="68"/>
    </row>
    <row r="2" spans="1:10" x14ac:dyDescent="0.35">
      <c r="A2" s="69"/>
      <c r="B2" s="70"/>
      <c r="C2" s="70"/>
      <c r="D2" s="70"/>
      <c r="E2" s="70"/>
      <c r="F2" s="70"/>
      <c r="G2" s="70"/>
      <c r="H2" s="70"/>
      <c r="I2" s="70"/>
      <c r="J2" s="71"/>
    </row>
    <row r="3" spans="1:10" x14ac:dyDescent="0.35">
      <c r="A3" s="72" t="s">
        <v>136</v>
      </c>
      <c r="B3" s="73"/>
      <c r="C3" s="73"/>
      <c r="D3" s="73"/>
      <c r="E3" s="73"/>
      <c r="F3" s="73"/>
      <c r="G3" s="73"/>
      <c r="H3" s="73"/>
      <c r="I3" s="73"/>
      <c r="J3" s="74"/>
    </row>
    <row r="4" spans="1:10" x14ac:dyDescent="0.35">
      <c r="A4" s="81"/>
      <c r="B4" s="76"/>
      <c r="C4" s="76"/>
      <c r="D4" s="76"/>
      <c r="E4" s="76"/>
      <c r="F4" s="76"/>
      <c r="G4" s="76"/>
      <c r="H4" s="76"/>
      <c r="I4" s="76"/>
      <c r="J4" s="77"/>
    </row>
    <row r="5" spans="1:10" x14ac:dyDescent="0.35">
      <c r="A5" s="2" t="s">
        <v>11</v>
      </c>
      <c r="B5" s="73">
        <v>912</v>
      </c>
      <c r="C5" s="73"/>
      <c r="D5" s="73"/>
      <c r="E5" s="73"/>
      <c r="F5" s="73"/>
      <c r="G5" s="73"/>
      <c r="H5" s="73"/>
      <c r="I5" s="73"/>
      <c r="J5" s="74"/>
    </row>
    <row r="6" spans="1:10" x14ac:dyDescent="0.35">
      <c r="A6" s="3" t="s">
        <v>12</v>
      </c>
      <c r="B6" s="73" t="s">
        <v>52</v>
      </c>
      <c r="C6" s="73"/>
      <c r="D6" s="73"/>
      <c r="E6" s="73"/>
      <c r="F6" s="73"/>
      <c r="G6" s="73"/>
      <c r="H6" s="73"/>
      <c r="I6" s="73"/>
      <c r="J6" s="74"/>
    </row>
    <row r="7" spans="1:10" x14ac:dyDescent="0.35">
      <c r="A7" s="3" t="s">
        <v>13</v>
      </c>
      <c r="B7" s="73" t="s">
        <v>14</v>
      </c>
      <c r="C7" s="73"/>
      <c r="D7" s="73"/>
      <c r="E7" s="73"/>
      <c r="F7" s="73"/>
      <c r="G7" s="73"/>
      <c r="H7" s="73"/>
      <c r="I7" s="73"/>
      <c r="J7" s="74"/>
    </row>
    <row r="8" spans="1:10" x14ac:dyDescent="0.35">
      <c r="A8" s="3" t="s">
        <v>1</v>
      </c>
      <c r="B8" s="73" t="s">
        <v>17</v>
      </c>
      <c r="C8" s="73"/>
      <c r="D8" s="73"/>
      <c r="E8" s="73"/>
      <c r="F8" s="73"/>
      <c r="G8" s="73"/>
      <c r="H8" s="73"/>
      <c r="I8" s="73"/>
      <c r="J8" s="74"/>
    </row>
    <row r="9" spans="1:10" x14ac:dyDescent="0.35">
      <c r="A9" s="3" t="s">
        <v>15</v>
      </c>
      <c r="B9" s="73">
        <v>19</v>
      </c>
      <c r="C9" s="73"/>
      <c r="D9" s="73"/>
      <c r="E9" s="73"/>
      <c r="F9" s="73"/>
      <c r="G9" s="73"/>
      <c r="H9" s="73"/>
      <c r="I9" s="73"/>
      <c r="J9" s="74"/>
    </row>
    <row r="10" spans="1:10" x14ac:dyDescent="0.35">
      <c r="A10" s="9" t="s">
        <v>18</v>
      </c>
      <c r="B10" s="88">
        <v>0.35</v>
      </c>
      <c r="C10" s="88"/>
      <c r="D10" s="88"/>
      <c r="E10" s="88"/>
      <c r="F10" s="88"/>
      <c r="G10" s="88"/>
      <c r="H10" s="88"/>
      <c r="I10" s="89"/>
      <c r="J10" s="90"/>
    </row>
    <row r="11" spans="1:10" x14ac:dyDescent="0.35">
      <c r="A11" s="4"/>
      <c r="B11" s="75" t="s">
        <v>21</v>
      </c>
      <c r="C11" s="76"/>
      <c r="D11" s="76"/>
      <c r="E11" s="76"/>
      <c r="F11" s="76"/>
      <c r="G11" s="76"/>
      <c r="H11" s="76"/>
      <c r="I11" s="76"/>
      <c r="J11" s="77"/>
    </row>
    <row r="12" spans="1:10" x14ac:dyDescent="0.35">
      <c r="A12" s="4"/>
      <c r="B12" s="14"/>
      <c r="C12" s="15"/>
      <c r="D12" s="15"/>
      <c r="F12" s="15"/>
      <c r="G12" s="15"/>
      <c r="H12" s="15"/>
      <c r="I12" s="18"/>
      <c r="J12" s="16"/>
    </row>
    <row r="13" spans="1:10" ht="15" customHeight="1" x14ac:dyDescent="0.35">
      <c r="A13" s="4"/>
      <c r="B13" s="91" t="s">
        <v>24</v>
      </c>
      <c r="C13" s="91" t="s">
        <v>19</v>
      </c>
      <c r="D13" s="91" t="s">
        <v>20</v>
      </c>
      <c r="E13" s="91" t="s">
        <v>2</v>
      </c>
      <c r="F13" s="76" t="s">
        <v>22</v>
      </c>
      <c r="G13" s="76"/>
      <c r="H13" s="76"/>
      <c r="I13" s="91" t="s">
        <v>70</v>
      </c>
      <c r="J13" s="16"/>
    </row>
    <row r="14" spans="1:10" x14ac:dyDescent="0.35">
      <c r="A14" s="17" t="s">
        <v>9</v>
      </c>
      <c r="B14" s="91"/>
      <c r="C14" s="91"/>
      <c r="D14" s="91"/>
      <c r="E14" s="91"/>
      <c r="F14" s="22" t="s">
        <v>25</v>
      </c>
      <c r="G14" s="5" t="s">
        <v>26</v>
      </c>
      <c r="H14" s="14" t="s">
        <v>23</v>
      </c>
      <c r="I14" s="91"/>
      <c r="J14" s="16" t="s">
        <v>3</v>
      </c>
    </row>
    <row r="15" spans="1:10" x14ac:dyDescent="0.35">
      <c r="A15" s="17">
        <v>2.7</v>
      </c>
      <c r="B15" s="10" t="s">
        <v>71</v>
      </c>
      <c r="C15" s="10">
        <v>2007</v>
      </c>
      <c r="D15" s="10" t="s">
        <v>0</v>
      </c>
      <c r="E15" s="10">
        <v>26</v>
      </c>
      <c r="F15" s="10">
        <v>66</v>
      </c>
      <c r="G15" s="10">
        <v>8</v>
      </c>
      <c r="H15" s="10">
        <v>74</v>
      </c>
      <c r="I15" s="10" t="s">
        <v>0</v>
      </c>
      <c r="J15" s="11">
        <v>11</v>
      </c>
    </row>
    <row r="16" spans="1:10" x14ac:dyDescent="0.35">
      <c r="A16" s="17">
        <v>2.8</v>
      </c>
      <c r="B16" s="10" t="s">
        <v>71</v>
      </c>
      <c r="C16" s="10">
        <v>2007</v>
      </c>
      <c r="D16" s="10" t="s">
        <v>0</v>
      </c>
      <c r="E16" s="10">
        <v>21</v>
      </c>
      <c r="F16" s="10">
        <v>55</v>
      </c>
      <c r="G16" s="10">
        <v>24</v>
      </c>
      <c r="H16" s="10">
        <v>79</v>
      </c>
      <c r="I16" s="10" t="s">
        <v>0</v>
      </c>
      <c r="J16" s="11">
        <v>11</v>
      </c>
    </row>
    <row r="17" spans="1:10" x14ac:dyDescent="0.35">
      <c r="A17" s="17">
        <v>3.3</v>
      </c>
      <c r="B17" s="10" t="s">
        <v>31</v>
      </c>
      <c r="C17" s="10">
        <v>1993</v>
      </c>
      <c r="D17" s="10" t="s">
        <v>0</v>
      </c>
      <c r="E17" s="10">
        <v>48</v>
      </c>
      <c r="F17" s="10">
        <v>22</v>
      </c>
      <c r="G17" s="10">
        <v>30</v>
      </c>
      <c r="H17" s="10">
        <v>52</v>
      </c>
      <c r="I17" s="10">
        <v>2570</v>
      </c>
      <c r="J17" s="11">
        <v>34</v>
      </c>
    </row>
    <row r="18" spans="1:10" x14ac:dyDescent="0.35">
      <c r="A18" s="17">
        <v>3.4</v>
      </c>
      <c r="B18" s="10" t="s">
        <v>31</v>
      </c>
      <c r="C18" s="10">
        <v>1993</v>
      </c>
      <c r="D18" s="10" t="s">
        <v>0</v>
      </c>
      <c r="E18" s="10">
        <v>64</v>
      </c>
      <c r="F18" s="10">
        <v>22</v>
      </c>
      <c r="G18" s="10">
        <v>14</v>
      </c>
      <c r="H18" s="10">
        <v>36</v>
      </c>
      <c r="I18" s="10">
        <v>2266</v>
      </c>
      <c r="J18" s="11">
        <v>34</v>
      </c>
    </row>
    <row r="19" spans="1:10" x14ac:dyDescent="0.35">
      <c r="A19" s="17">
        <v>3.4</v>
      </c>
      <c r="B19" s="10" t="s">
        <v>31</v>
      </c>
      <c r="C19" s="10">
        <v>1993</v>
      </c>
      <c r="D19" s="10">
        <v>75</v>
      </c>
      <c r="E19" s="10">
        <v>57</v>
      </c>
      <c r="F19" s="10">
        <v>11</v>
      </c>
      <c r="G19" s="10">
        <v>32</v>
      </c>
      <c r="H19" s="10">
        <v>43</v>
      </c>
      <c r="I19" s="10">
        <v>1955</v>
      </c>
      <c r="J19" s="11">
        <v>34</v>
      </c>
    </row>
    <row r="20" spans="1:10" x14ac:dyDescent="0.35">
      <c r="A20" s="17">
        <v>3.5</v>
      </c>
      <c r="B20" s="10" t="s">
        <v>31</v>
      </c>
      <c r="C20" s="10">
        <v>1993</v>
      </c>
      <c r="D20" s="10">
        <v>53</v>
      </c>
      <c r="E20" s="10">
        <v>47</v>
      </c>
      <c r="F20" s="10">
        <v>32</v>
      </c>
      <c r="G20" s="10">
        <v>21</v>
      </c>
      <c r="H20" s="10">
        <v>53</v>
      </c>
      <c r="I20" s="10">
        <v>2785</v>
      </c>
      <c r="J20" s="11">
        <v>2</v>
      </c>
    </row>
    <row r="21" spans="1:10" x14ac:dyDescent="0.35">
      <c r="A21" s="17">
        <v>3.6</v>
      </c>
      <c r="B21" s="10" t="s">
        <v>71</v>
      </c>
      <c r="C21" s="10">
        <v>2007</v>
      </c>
      <c r="D21" s="10" t="s">
        <v>0</v>
      </c>
      <c r="E21" s="10">
        <v>42</v>
      </c>
      <c r="F21" s="10">
        <v>50</v>
      </c>
      <c r="G21" s="10">
        <v>8</v>
      </c>
      <c r="H21" s="10">
        <v>58</v>
      </c>
      <c r="I21" s="10" t="s">
        <v>0</v>
      </c>
      <c r="J21" s="11">
        <v>11</v>
      </c>
    </row>
    <row r="22" spans="1:10" x14ac:dyDescent="0.35">
      <c r="A22" s="17">
        <v>3.6</v>
      </c>
      <c r="B22" s="10" t="s">
        <v>71</v>
      </c>
      <c r="C22" s="10">
        <v>2007</v>
      </c>
      <c r="D22" s="10" t="s">
        <v>0</v>
      </c>
      <c r="E22" s="10">
        <v>29</v>
      </c>
      <c r="F22" s="10" t="s">
        <v>0</v>
      </c>
      <c r="G22" s="10" t="s">
        <v>0</v>
      </c>
      <c r="H22" s="10">
        <v>71</v>
      </c>
      <c r="I22" s="10" t="s">
        <v>0</v>
      </c>
      <c r="J22" s="11">
        <v>11</v>
      </c>
    </row>
    <row r="23" spans="1:10" x14ac:dyDescent="0.35">
      <c r="A23" s="17">
        <v>3.8</v>
      </c>
      <c r="B23" s="10" t="s">
        <v>35</v>
      </c>
      <c r="C23" s="10">
        <v>2005</v>
      </c>
      <c r="D23" s="10">
        <v>56</v>
      </c>
      <c r="E23" s="10">
        <v>43</v>
      </c>
      <c r="F23" s="10" t="s">
        <v>0</v>
      </c>
      <c r="G23" s="10" t="s">
        <v>0</v>
      </c>
      <c r="H23" s="10">
        <v>57</v>
      </c>
      <c r="I23" s="10" t="s">
        <v>0</v>
      </c>
      <c r="J23" s="11">
        <v>19</v>
      </c>
    </row>
    <row r="24" spans="1:10" x14ac:dyDescent="0.35">
      <c r="A24" s="17">
        <v>3.8</v>
      </c>
      <c r="B24" s="10" t="s">
        <v>35</v>
      </c>
      <c r="C24" s="10">
        <v>2005</v>
      </c>
      <c r="D24" s="10">
        <v>38</v>
      </c>
      <c r="E24" s="10">
        <v>41</v>
      </c>
      <c r="F24" s="10" t="s">
        <v>0</v>
      </c>
      <c r="G24" s="10" t="s">
        <v>0</v>
      </c>
      <c r="H24" s="10">
        <v>59</v>
      </c>
      <c r="I24" s="10" t="s">
        <v>0</v>
      </c>
      <c r="J24" s="11">
        <v>19</v>
      </c>
    </row>
    <row r="25" spans="1:10" x14ac:dyDescent="0.35">
      <c r="A25" s="17">
        <v>3.8</v>
      </c>
      <c r="B25" s="10" t="s">
        <v>35</v>
      </c>
      <c r="C25" s="10">
        <v>2005</v>
      </c>
      <c r="D25" s="10">
        <v>14</v>
      </c>
      <c r="E25" s="10">
        <v>24</v>
      </c>
      <c r="F25" s="10" t="s">
        <v>0</v>
      </c>
      <c r="G25" s="10" t="s">
        <v>0</v>
      </c>
      <c r="H25" s="10">
        <v>76</v>
      </c>
      <c r="I25" s="10" t="s">
        <v>0</v>
      </c>
      <c r="J25" s="11">
        <v>19</v>
      </c>
    </row>
    <row r="26" spans="1:10" x14ac:dyDescent="0.35">
      <c r="A26" s="17">
        <v>3.8</v>
      </c>
      <c r="B26" s="10" t="s">
        <v>35</v>
      </c>
      <c r="C26" s="10">
        <v>2005</v>
      </c>
      <c r="D26" s="10">
        <v>63</v>
      </c>
      <c r="E26" s="10">
        <v>29</v>
      </c>
      <c r="F26" s="10" t="s">
        <v>0</v>
      </c>
      <c r="G26" s="10" t="s">
        <v>0</v>
      </c>
      <c r="H26" s="10">
        <v>71</v>
      </c>
      <c r="I26" s="10" t="s">
        <v>0</v>
      </c>
      <c r="J26" s="11">
        <v>19</v>
      </c>
    </row>
    <row r="27" spans="1:10" x14ac:dyDescent="0.35">
      <c r="A27" s="17">
        <v>3.8</v>
      </c>
      <c r="B27" s="10" t="s">
        <v>35</v>
      </c>
      <c r="C27" s="10">
        <v>2005</v>
      </c>
      <c r="D27" s="10">
        <v>70</v>
      </c>
      <c r="E27" s="10">
        <v>29</v>
      </c>
      <c r="F27" s="10" t="s">
        <v>0</v>
      </c>
      <c r="G27" s="10" t="s">
        <v>0</v>
      </c>
      <c r="H27" s="10">
        <v>71</v>
      </c>
      <c r="I27" s="10" t="s">
        <v>0</v>
      </c>
      <c r="J27" s="11">
        <v>19</v>
      </c>
    </row>
    <row r="28" spans="1:10" x14ac:dyDescent="0.35">
      <c r="A28" s="17">
        <v>3.8</v>
      </c>
      <c r="B28" s="10" t="s">
        <v>35</v>
      </c>
      <c r="C28" s="10">
        <v>2005</v>
      </c>
      <c r="D28" s="10">
        <v>29</v>
      </c>
      <c r="E28" s="10">
        <v>27</v>
      </c>
      <c r="F28" s="10" t="s">
        <v>0</v>
      </c>
      <c r="G28" s="10" t="s">
        <v>0</v>
      </c>
      <c r="H28" s="10">
        <v>73</v>
      </c>
      <c r="I28" s="10" t="s">
        <v>0</v>
      </c>
      <c r="J28" s="11">
        <v>19</v>
      </c>
    </row>
    <row r="29" spans="1:10" x14ac:dyDescent="0.35">
      <c r="A29" s="17">
        <v>3.8</v>
      </c>
      <c r="B29" s="10" t="s">
        <v>35</v>
      </c>
      <c r="C29" s="10">
        <v>2005</v>
      </c>
      <c r="D29" s="10">
        <v>41</v>
      </c>
      <c r="E29" s="10">
        <v>25</v>
      </c>
      <c r="F29" s="10" t="s">
        <v>0</v>
      </c>
      <c r="G29" s="10" t="s">
        <v>0</v>
      </c>
      <c r="H29" s="10">
        <v>75</v>
      </c>
      <c r="I29" s="10" t="s">
        <v>0</v>
      </c>
      <c r="J29" s="11">
        <v>19</v>
      </c>
    </row>
    <row r="30" spans="1:10" x14ac:dyDescent="0.35">
      <c r="A30" s="17">
        <v>3.8</v>
      </c>
      <c r="B30" s="10" t="s">
        <v>35</v>
      </c>
      <c r="C30" s="10">
        <v>2005</v>
      </c>
      <c r="D30" s="10">
        <v>37</v>
      </c>
      <c r="E30" s="10">
        <v>31</v>
      </c>
      <c r="F30" s="10" t="s">
        <v>0</v>
      </c>
      <c r="G30" s="10" t="s">
        <v>0</v>
      </c>
      <c r="H30" s="10">
        <v>69</v>
      </c>
      <c r="I30" s="10" t="s">
        <v>0</v>
      </c>
      <c r="J30" s="11">
        <v>19</v>
      </c>
    </row>
    <row r="31" spans="1:10" x14ac:dyDescent="0.35">
      <c r="A31" s="17">
        <v>3.8</v>
      </c>
      <c r="B31" s="10" t="s">
        <v>35</v>
      </c>
      <c r="C31" s="10">
        <v>2005</v>
      </c>
      <c r="D31" s="10">
        <v>19</v>
      </c>
      <c r="E31" s="10">
        <v>29</v>
      </c>
      <c r="F31" s="10" t="s">
        <v>0</v>
      </c>
      <c r="G31" s="10" t="s">
        <v>0</v>
      </c>
      <c r="H31" s="10">
        <v>71</v>
      </c>
      <c r="I31" s="10" t="s">
        <v>0</v>
      </c>
      <c r="J31" s="11">
        <v>19</v>
      </c>
    </row>
    <row r="32" spans="1:10" x14ac:dyDescent="0.35">
      <c r="A32" s="17">
        <v>3.8</v>
      </c>
      <c r="B32" s="10" t="s">
        <v>35</v>
      </c>
      <c r="C32" s="10">
        <v>2005</v>
      </c>
      <c r="D32" s="10">
        <v>34</v>
      </c>
      <c r="E32" s="10">
        <v>21</v>
      </c>
      <c r="F32" s="10" t="s">
        <v>0</v>
      </c>
      <c r="G32" s="10" t="s">
        <v>0</v>
      </c>
      <c r="H32" s="10">
        <v>79</v>
      </c>
      <c r="I32" s="10" t="s">
        <v>0</v>
      </c>
      <c r="J32" s="11">
        <v>19</v>
      </c>
    </row>
    <row r="33" spans="1:10" x14ac:dyDescent="0.35">
      <c r="A33" s="17">
        <v>3.8</v>
      </c>
      <c r="B33" s="10" t="s">
        <v>35</v>
      </c>
      <c r="C33" s="10">
        <v>2005</v>
      </c>
      <c r="D33" s="10">
        <v>36</v>
      </c>
      <c r="E33" s="10">
        <v>29</v>
      </c>
      <c r="F33" s="10" t="s">
        <v>0</v>
      </c>
      <c r="G33" s="10" t="s">
        <v>0</v>
      </c>
      <c r="H33" s="10">
        <v>71</v>
      </c>
      <c r="I33" s="10" t="s">
        <v>0</v>
      </c>
      <c r="J33" s="11">
        <v>19</v>
      </c>
    </row>
    <row r="34" spans="1:10" ht="15" thickBot="1" x14ac:dyDescent="0.4">
      <c r="A34" s="7"/>
      <c r="B34" s="12"/>
      <c r="C34" s="8"/>
      <c r="D34" s="8"/>
      <c r="E34" s="12"/>
      <c r="F34" s="8"/>
      <c r="G34" s="8"/>
      <c r="H34" s="8"/>
      <c r="I34" s="12"/>
      <c r="J34" s="13"/>
    </row>
  </sheetData>
  <mergeCells count="16">
    <mergeCell ref="B7:J7"/>
    <mergeCell ref="A1:J2"/>
    <mergeCell ref="A3:J3"/>
    <mergeCell ref="A4:J4"/>
    <mergeCell ref="B5:J5"/>
    <mergeCell ref="B6:J6"/>
    <mergeCell ref="B8:J8"/>
    <mergeCell ref="B9:J9"/>
    <mergeCell ref="B10:J10"/>
    <mergeCell ref="B11:J11"/>
    <mergeCell ref="B13:B14"/>
    <mergeCell ref="C13:C14"/>
    <mergeCell ref="D13:D14"/>
    <mergeCell ref="E13:E14"/>
    <mergeCell ref="F13:H13"/>
    <mergeCell ref="I13:I14"/>
  </mergeCells>
  <pageMargins left="0.7" right="0.7" top="0.75" bottom="0.75" header="0.3" footer="0.3"/>
  <pageSetup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3250C-526F-464A-B6D4-348CD02F8DA9}">
  <sheetPr>
    <tabColor rgb="FFFFFF00"/>
  </sheetPr>
  <dimension ref="A1:J20"/>
  <sheetViews>
    <sheetView zoomScale="130" zoomScaleNormal="130" workbookViewId="0">
      <selection activeCell="L15" sqref="L15"/>
    </sheetView>
  </sheetViews>
  <sheetFormatPr defaultColWidth="9.1796875" defaultRowHeight="14.5" x14ac:dyDescent="0.35"/>
  <cols>
    <col min="1" max="1" width="20.1796875" bestFit="1" customWidth="1"/>
    <col min="2" max="2" width="14.26953125" style="1" bestFit="1" customWidth="1"/>
    <col min="3" max="3" width="8.1796875" style="1" customWidth="1"/>
    <col min="4" max="4" width="10.54296875" style="1" customWidth="1"/>
    <col min="5" max="5" width="9.54296875" style="1" customWidth="1"/>
    <col min="6" max="6" width="12.1796875" style="1" customWidth="1"/>
    <col min="7" max="7" width="12.54296875" style="1" customWidth="1"/>
    <col min="8" max="8" width="8.81640625" style="1" bestFit="1" customWidth="1"/>
    <col min="9" max="9" width="14.1796875" style="1" customWidth="1"/>
    <col min="10" max="10" width="7" style="1" bestFit="1" customWidth="1"/>
  </cols>
  <sheetData>
    <row r="1" spans="1:10" x14ac:dyDescent="0.35">
      <c r="A1" s="66" t="s">
        <v>16</v>
      </c>
      <c r="B1" s="67"/>
      <c r="C1" s="67"/>
      <c r="D1" s="67"/>
      <c r="E1" s="67"/>
      <c r="F1" s="67"/>
      <c r="G1" s="67"/>
      <c r="H1" s="67"/>
      <c r="I1" s="67"/>
      <c r="J1" s="68"/>
    </row>
    <row r="2" spans="1:10" x14ac:dyDescent="0.35">
      <c r="A2" s="69"/>
      <c r="B2" s="70"/>
      <c r="C2" s="70"/>
      <c r="D2" s="70"/>
      <c r="E2" s="70"/>
      <c r="F2" s="70"/>
      <c r="G2" s="70"/>
      <c r="H2" s="70"/>
      <c r="I2" s="70"/>
      <c r="J2" s="71"/>
    </row>
    <row r="3" spans="1:10" x14ac:dyDescent="0.35">
      <c r="A3" s="72" t="s">
        <v>136</v>
      </c>
      <c r="B3" s="73"/>
      <c r="C3" s="73"/>
      <c r="D3" s="73"/>
      <c r="E3" s="73"/>
      <c r="F3" s="73"/>
      <c r="G3" s="73"/>
      <c r="H3" s="73"/>
      <c r="I3" s="73"/>
      <c r="J3" s="74"/>
    </row>
    <row r="4" spans="1:10" x14ac:dyDescent="0.35">
      <c r="A4" s="81"/>
      <c r="B4" s="76"/>
      <c r="C4" s="76"/>
      <c r="D4" s="76"/>
      <c r="E4" s="76"/>
      <c r="F4" s="76"/>
      <c r="G4" s="76"/>
      <c r="H4" s="76"/>
      <c r="I4" s="76"/>
      <c r="J4" s="77"/>
    </row>
    <row r="5" spans="1:10" x14ac:dyDescent="0.35">
      <c r="A5" s="2" t="s">
        <v>11</v>
      </c>
      <c r="B5" s="73">
        <v>912</v>
      </c>
      <c r="C5" s="73"/>
      <c r="D5" s="73"/>
      <c r="E5" s="73"/>
      <c r="F5" s="73"/>
      <c r="G5" s="73"/>
      <c r="H5" s="73"/>
      <c r="I5" s="73"/>
      <c r="J5" s="74"/>
    </row>
    <row r="6" spans="1:10" x14ac:dyDescent="0.35">
      <c r="A6" s="3" t="s">
        <v>12</v>
      </c>
      <c r="B6" s="73" t="s">
        <v>52</v>
      </c>
      <c r="C6" s="73"/>
      <c r="D6" s="73"/>
      <c r="E6" s="73"/>
      <c r="F6" s="73"/>
      <c r="G6" s="73"/>
      <c r="H6" s="73"/>
      <c r="I6" s="73"/>
      <c r="J6" s="74"/>
    </row>
    <row r="7" spans="1:10" x14ac:dyDescent="0.35">
      <c r="A7" s="3" t="s">
        <v>13</v>
      </c>
      <c r="B7" s="73" t="s">
        <v>14</v>
      </c>
      <c r="C7" s="73"/>
      <c r="D7" s="73"/>
      <c r="E7" s="73"/>
      <c r="F7" s="73"/>
      <c r="G7" s="73"/>
      <c r="H7" s="73"/>
      <c r="I7" s="73"/>
      <c r="J7" s="74"/>
    </row>
    <row r="8" spans="1:10" x14ac:dyDescent="0.35">
      <c r="A8" s="3" t="s">
        <v>1</v>
      </c>
      <c r="B8" s="73" t="s">
        <v>7</v>
      </c>
      <c r="C8" s="73"/>
      <c r="D8" s="73"/>
      <c r="E8" s="73"/>
      <c r="F8" s="73"/>
      <c r="G8" s="73"/>
      <c r="H8" s="73"/>
      <c r="I8" s="73"/>
      <c r="J8" s="74"/>
    </row>
    <row r="9" spans="1:10" x14ac:dyDescent="0.35">
      <c r="A9" s="3" t="s">
        <v>15</v>
      </c>
      <c r="B9" s="73">
        <v>5</v>
      </c>
      <c r="C9" s="73"/>
      <c r="D9" s="73"/>
      <c r="E9" s="73"/>
      <c r="F9" s="73"/>
      <c r="G9" s="73"/>
      <c r="H9" s="73"/>
      <c r="I9" s="73"/>
      <c r="J9" s="74"/>
    </row>
    <row r="10" spans="1:10" x14ac:dyDescent="0.35">
      <c r="A10" s="9" t="s">
        <v>18</v>
      </c>
      <c r="B10" s="88">
        <v>0.38</v>
      </c>
      <c r="C10" s="88"/>
      <c r="D10" s="88"/>
      <c r="E10" s="88"/>
      <c r="F10" s="88"/>
      <c r="G10" s="88"/>
      <c r="H10" s="88"/>
      <c r="I10" s="89"/>
      <c r="J10" s="90"/>
    </row>
    <row r="11" spans="1:10" x14ac:dyDescent="0.35">
      <c r="A11" s="4"/>
      <c r="B11" s="75" t="s">
        <v>21</v>
      </c>
      <c r="C11" s="76"/>
      <c r="D11" s="76"/>
      <c r="E11" s="76"/>
      <c r="F11" s="76"/>
      <c r="G11" s="76"/>
      <c r="H11" s="76"/>
      <c r="I11" s="76"/>
      <c r="J11" s="77"/>
    </row>
    <row r="12" spans="1:10" x14ac:dyDescent="0.35">
      <c r="A12" s="4"/>
      <c r="B12" s="14"/>
      <c r="C12" s="15"/>
      <c r="D12" s="15"/>
      <c r="F12" s="15"/>
      <c r="G12" s="15"/>
      <c r="H12" s="15"/>
      <c r="I12" s="18"/>
      <c r="J12" s="16"/>
    </row>
    <row r="13" spans="1:10" ht="15" customHeight="1" x14ac:dyDescent="0.35">
      <c r="A13" s="4"/>
      <c r="B13" s="91" t="s">
        <v>24</v>
      </c>
      <c r="C13" s="91" t="s">
        <v>19</v>
      </c>
      <c r="D13" s="91" t="s">
        <v>20</v>
      </c>
      <c r="E13" s="91" t="s">
        <v>2</v>
      </c>
      <c r="F13" s="76" t="s">
        <v>22</v>
      </c>
      <c r="G13" s="76"/>
      <c r="H13" s="76"/>
      <c r="I13" s="91" t="s">
        <v>70</v>
      </c>
      <c r="J13" s="16"/>
    </row>
    <row r="14" spans="1:10" x14ac:dyDescent="0.35">
      <c r="A14" s="17" t="s">
        <v>9</v>
      </c>
      <c r="B14" s="91"/>
      <c r="C14" s="91"/>
      <c r="D14" s="91"/>
      <c r="E14" s="91"/>
      <c r="F14" s="22" t="s">
        <v>25</v>
      </c>
      <c r="G14" s="5" t="s">
        <v>26</v>
      </c>
      <c r="H14" s="14" t="s">
        <v>23</v>
      </c>
      <c r="I14" s="91"/>
      <c r="J14" s="16" t="s">
        <v>3</v>
      </c>
    </row>
    <row r="15" spans="1:10" x14ac:dyDescent="0.35">
      <c r="A15" s="17">
        <v>3.8</v>
      </c>
      <c r="B15" s="10" t="s">
        <v>35</v>
      </c>
      <c r="C15" s="10">
        <v>2005</v>
      </c>
      <c r="D15" s="10">
        <v>63</v>
      </c>
      <c r="E15" s="10">
        <v>33</v>
      </c>
      <c r="F15" s="10" t="s">
        <v>0</v>
      </c>
      <c r="G15" s="10" t="s">
        <v>0</v>
      </c>
      <c r="H15" s="10">
        <v>67</v>
      </c>
      <c r="I15" s="10" t="s">
        <v>0</v>
      </c>
      <c r="J15" s="11">
        <v>19</v>
      </c>
    </row>
    <row r="16" spans="1:10" x14ac:dyDescent="0.35">
      <c r="A16" s="17">
        <v>3.8</v>
      </c>
      <c r="B16" s="10" t="s">
        <v>35</v>
      </c>
      <c r="C16" s="10">
        <v>2005</v>
      </c>
      <c r="D16" s="10">
        <v>103</v>
      </c>
      <c r="E16" s="10">
        <v>77</v>
      </c>
      <c r="F16" s="10" t="s">
        <v>0</v>
      </c>
      <c r="G16" s="10" t="s">
        <v>0</v>
      </c>
      <c r="H16" s="10">
        <v>23</v>
      </c>
      <c r="I16" s="10" t="s">
        <v>0</v>
      </c>
      <c r="J16" s="11">
        <v>19</v>
      </c>
    </row>
    <row r="17" spans="1:10" x14ac:dyDescent="0.35">
      <c r="A17" s="17">
        <v>3.8</v>
      </c>
      <c r="B17" s="10" t="s">
        <v>35</v>
      </c>
      <c r="C17" s="10">
        <v>2005</v>
      </c>
      <c r="D17" s="10">
        <v>34</v>
      </c>
      <c r="E17" s="10">
        <v>37</v>
      </c>
      <c r="F17" s="10" t="s">
        <v>0</v>
      </c>
      <c r="G17" s="10" t="s">
        <v>0</v>
      </c>
      <c r="H17" s="10">
        <v>63</v>
      </c>
      <c r="I17" s="10" t="s">
        <v>0</v>
      </c>
      <c r="J17" s="11">
        <v>19</v>
      </c>
    </row>
    <row r="18" spans="1:10" x14ac:dyDescent="0.35">
      <c r="A18" s="17">
        <v>3.8</v>
      </c>
      <c r="B18" s="10" t="s">
        <v>35</v>
      </c>
      <c r="C18" s="10">
        <v>2005</v>
      </c>
      <c r="D18" s="10">
        <v>53</v>
      </c>
      <c r="E18" s="10">
        <v>33</v>
      </c>
      <c r="F18" s="10" t="s">
        <v>0</v>
      </c>
      <c r="G18" s="10" t="s">
        <v>0</v>
      </c>
      <c r="H18" s="10">
        <v>67</v>
      </c>
      <c r="I18" s="10" t="s">
        <v>0</v>
      </c>
      <c r="J18" s="11">
        <v>19</v>
      </c>
    </row>
    <row r="19" spans="1:10" x14ac:dyDescent="0.35">
      <c r="A19" s="17">
        <v>3.8</v>
      </c>
      <c r="B19" s="10" t="s">
        <v>35</v>
      </c>
      <c r="C19" s="10">
        <v>2005</v>
      </c>
      <c r="D19" s="10">
        <v>25</v>
      </c>
      <c r="E19" s="10">
        <v>12</v>
      </c>
      <c r="F19" s="10" t="s">
        <v>0</v>
      </c>
      <c r="G19" s="10" t="s">
        <v>0</v>
      </c>
      <c r="H19" s="10">
        <v>88</v>
      </c>
      <c r="I19" s="10" t="s">
        <v>0</v>
      </c>
      <c r="J19" s="11">
        <v>19</v>
      </c>
    </row>
    <row r="20" spans="1:10" ht="15" thickBot="1" x14ac:dyDescent="0.4">
      <c r="A20" s="7"/>
      <c r="B20" s="12"/>
      <c r="C20" s="8"/>
      <c r="D20" s="8"/>
      <c r="E20" s="12"/>
      <c r="F20" s="8"/>
      <c r="G20" s="8"/>
      <c r="H20" s="8"/>
      <c r="I20" s="12"/>
      <c r="J20" s="13"/>
    </row>
  </sheetData>
  <mergeCells count="16">
    <mergeCell ref="B7:J7"/>
    <mergeCell ref="A1:J2"/>
    <mergeCell ref="A3:J3"/>
    <mergeCell ref="A4:J4"/>
    <mergeCell ref="B5:J5"/>
    <mergeCell ref="B6:J6"/>
    <mergeCell ref="B8:J8"/>
    <mergeCell ref="B9:J9"/>
    <mergeCell ref="B10:J10"/>
    <mergeCell ref="B11:J11"/>
    <mergeCell ref="B13:B14"/>
    <mergeCell ref="C13:C14"/>
    <mergeCell ref="D13:D14"/>
    <mergeCell ref="E13:E14"/>
    <mergeCell ref="F13:H13"/>
    <mergeCell ref="I13:I14"/>
  </mergeCells>
  <pageMargins left="0.7" right="0.7" top="0.75" bottom="0.75" header="0.3" footer="0.3"/>
  <pageSetup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56FDD-1768-4280-B375-CFAEA7FC37CE}">
  <sheetPr>
    <tabColor rgb="FFFFFF00"/>
  </sheetPr>
  <dimension ref="A1:J19"/>
  <sheetViews>
    <sheetView zoomScale="130" zoomScaleNormal="130" workbookViewId="0">
      <selection activeCell="B9" sqref="B9:J9"/>
    </sheetView>
  </sheetViews>
  <sheetFormatPr defaultColWidth="9.1796875" defaultRowHeight="14.5" x14ac:dyDescent="0.35"/>
  <cols>
    <col min="1" max="1" width="20.1796875" bestFit="1" customWidth="1"/>
    <col min="2" max="2" width="14.26953125" style="1" bestFit="1" customWidth="1"/>
    <col min="3" max="3" width="8.1796875" style="1" customWidth="1"/>
    <col min="4" max="4" width="10.54296875" style="1" customWidth="1"/>
    <col min="5" max="5" width="9.54296875" style="1" customWidth="1"/>
    <col min="6" max="6" width="12.1796875" style="1" customWidth="1"/>
    <col min="7" max="7" width="12.54296875" style="1" customWidth="1"/>
    <col min="8" max="8" width="8.81640625" style="1" bestFit="1" customWidth="1"/>
    <col min="9" max="9" width="14.1796875" style="1" customWidth="1"/>
    <col min="10" max="10" width="7" style="1" bestFit="1" customWidth="1"/>
  </cols>
  <sheetData>
    <row r="1" spans="1:10" x14ac:dyDescent="0.35">
      <c r="A1" s="66" t="s">
        <v>16</v>
      </c>
      <c r="B1" s="67"/>
      <c r="C1" s="67"/>
      <c r="D1" s="67"/>
      <c r="E1" s="67"/>
      <c r="F1" s="67"/>
      <c r="G1" s="67"/>
      <c r="H1" s="67"/>
      <c r="I1" s="67"/>
      <c r="J1" s="68"/>
    </row>
    <row r="2" spans="1:10" x14ac:dyDescent="0.35">
      <c r="A2" s="69"/>
      <c r="B2" s="70"/>
      <c r="C2" s="70"/>
      <c r="D2" s="70"/>
      <c r="E2" s="70"/>
      <c r="F2" s="70"/>
      <c r="G2" s="70"/>
      <c r="H2" s="70"/>
      <c r="I2" s="70"/>
      <c r="J2" s="71"/>
    </row>
    <row r="3" spans="1:10" x14ac:dyDescent="0.35">
      <c r="A3" s="72" t="s">
        <v>136</v>
      </c>
      <c r="B3" s="73"/>
      <c r="C3" s="73"/>
      <c r="D3" s="73"/>
      <c r="E3" s="73"/>
      <c r="F3" s="73"/>
      <c r="G3" s="73"/>
      <c r="H3" s="73"/>
      <c r="I3" s="73"/>
      <c r="J3" s="74"/>
    </row>
    <row r="4" spans="1:10" x14ac:dyDescent="0.35">
      <c r="A4" s="81"/>
      <c r="B4" s="76"/>
      <c r="C4" s="76"/>
      <c r="D4" s="76"/>
      <c r="E4" s="76"/>
      <c r="F4" s="76"/>
      <c r="G4" s="76"/>
      <c r="H4" s="76"/>
      <c r="I4" s="76"/>
      <c r="J4" s="77"/>
    </row>
    <row r="5" spans="1:10" x14ac:dyDescent="0.35">
      <c r="A5" s="2" t="s">
        <v>11</v>
      </c>
      <c r="B5" s="73">
        <v>931</v>
      </c>
      <c r="C5" s="73"/>
      <c r="D5" s="73"/>
      <c r="E5" s="73"/>
      <c r="F5" s="73"/>
      <c r="G5" s="73"/>
      <c r="H5" s="73"/>
      <c r="I5" s="73"/>
      <c r="J5" s="74"/>
    </row>
    <row r="6" spans="1:10" x14ac:dyDescent="0.35">
      <c r="A6" s="3" t="s">
        <v>12</v>
      </c>
      <c r="B6" s="73" t="s">
        <v>54</v>
      </c>
      <c r="C6" s="73"/>
      <c r="D6" s="73"/>
      <c r="E6" s="73"/>
      <c r="F6" s="73"/>
      <c r="G6" s="73"/>
      <c r="H6" s="73"/>
      <c r="I6" s="73"/>
      <c r="J6" s="74"/>
    </row>
    <row r="7" spans="1:10" x14ac:dyDescent="0.35">
      <c r="A7" s="3" t="s">
        <v>13</v>
      </c>
      <c r="B7" s="73" t="s">
        <v>14</v>
      </c>
      <c r="C7" s="73"/>
      <c r="D7" s="73"/>
      <c r="E7" s="73"/>
      <c r="F7" s="73"/>
      <c r="G7" s="73"/>
      <c r="H7" s="73"/>
      <c r="I7" s="73"/>
      <c r="J7" s="74"/>
    </row>
    <row r="8" spans="1:10" x14ac:dyDescent="0.35">
      <c r="A8" s="3" t="s">
        <v>1</v>
      </c>
      <c r="B8" s="73" t="s">
        <v>17</v>
      </c>
      <c r="C8" s="73"/>
      <c r="D8" s="73"/>
      <c r="E8" s="73"/>
      <c r="F8" s="73"/>
      <c r="G8" s="73"/>
      <c r="H8" s="73"/>
      <c r="I8" s="73"/>
      <c r="J8" s="74"/>
    </row>
    <row r="9" spans="1:10" x14ac:dyDescent="0.35">
      <c r="A9" s="3" t="s">
        <v>15</v>
      </c>
      <c r="B9" s="73">
        <v>4</v>
      </c>
      <c r="C9" s="73"/>
      <c r="D9" s="73"/>
      <c r="E9" s="73"/>
      <c r="F9" s="73"/>
      <c r="G9" s="73"/>
      <c r="H9" s="73"/>
      <c r="I9" s="73"/>
      <c r="J9" s="74"/>
    </row>
    <row r="10" spans="1:10" x14ac:dyDescent="0.35">
      <c r="A10" s="9" t="s">
        <v>18</v>
      </c>
      <c r="B10" s="88">
        <v>0.44</v>
      </c>
      <c r="C10" s="88"/>
      <c r="D10" s="88"/>
      <c r="E10" s="88"/>
      <c r="F10" s="88"/>
      <c r="G10" s="88"/>
      <c r="H10" s="88"/>
      <c r="I10" s="89"/>
      <c r="J10" s="90"/>
    </row>
    <row r="11" spans="1:10" x14ac:dyDescent="0.35">
      <c r="A11" s="4"/>
      <c r="B11" s="75" t="s">
        <v>21</v>
      </c>
      <c r="C11" s="76"/>
      <c r="D11" s="76"/>
      <c r="E11" s="76"/>
      <c r="F11" s="76"/>
      <c r="G11" s="76"/>
      <c r="H11" s="76"/>
      <c r="I11" s="76"/>
      <c r="J11" s="77"/>
    </row>
    <row r="12" spans="1:10" x14ac:dyDescent="0.35">
      <c r="A12" s="4"/>
      <c r="B12" s="14"/>
      <c r="C12" s="15"/>
      <c r="D12" s="15"/>
      <c r="F12" s="15"/>
      <c r="G12" s="15"/>
      <c r="H12" s="15"/>
      <c r="I12" s="18"/>
      <c r="J12" s="16"/>
    </row>
    <row r="13" spans="1:10" ht="15" customHeight="1" x14ac:dyDescent="0.35">
      <c r="A13" s="4"/>
      <c r="B13" s="91" t="s">
        <v>24</v>
      </c>
      <c r="C13" s="91" t="s">
        <v>19</v>
      </c>
      <c r="D13" s="91" t="s">
        <v>20</v>
      </c>
      <c r="E13" s="91" t="s">
        <v>2</v>
      </c>
      <c r="F13" s="76" t="s">
        <v>22</v>
      </c>
      <c r="G13" s="76"/>
      <c r="H13" s="76"/>
      <c r="I13" s="91" t="s">
        <v>70</v>
      </c>
      <c r="J13" s="16"/>
    </row>
    <row r="14" spans="1:10" x14ac:dyDescent="0.35">
      <c r="A14" s="17" t="s">
        <v>9</v>
      </c>
      <c r="B14" s="91"/>
      <c r="C14" s="91"/>
      <c r="D14" s="91"/>
      <c r="E14" s="91"/>
      <c r="F14" s="22" t="s">
        <v>25</v>
      </c>
      <c r="G14" s="5" t="s">
        <v>26</v>
      </c>
      <c r="H14" s="14" t="s">
        <v>23</v>
      </c>
      <c r="I14" s="91"/>
      <c r="J14" s="16" t="s">
        <v>3</v>
      </c>
    </row>
    <row r="15" spans="1:10" x14ac:dyDescent="0.35">
      <c r="A15" s="17">
        <v>6.5</v>
      </c>
      <c r="B15" s="10" t="s">
        <v>29</v>
      </c>
      <c r="C15" s="10">
        <v>1995</v>
      </c>
      <c r="D15" s="10">
        <v>173</v>
      </c>
      <c r="E15" s="10">
        <v>62</v>
      </c>
      <c r="F15" s="10" t="s">
        <v>0</v>
      </c>
      <c r="G15" s="10" t="s">
        <v>0</v>
      </c>
      <c r="H15" s="10">
        <v>38</v>
      </c>
      <c r="I15" s="10" t="s">
        <v>0</v>
      </c>
      <c r="J15" s="11">
        <v>30</v>
      </c>
    </row>
    <row r="16" spans="1:10" x14ac:dyDescent="0.35">
      <c r="A16" s="17">
        <v>8</v>
      </c>
      <c r="B16" s="10" t="s">
        <v>29</v>
      </c>
      <c r="C16" s="10">
        <v>1992</v>
      </c>
      <c r="D16" s="10">
        <v>168</v>
      </c>
      <c r="E16" s="10">
        <v>45</v>
      </c>
      <c r="F16" s="10" t="s">
        <v>0</v>
      </c>
      <c r="G16" s="10" t="s">
        <v>0</v>
      </c>
      <c r="H16" s="10">
        <v>55</v>
      </c>
      <c r="I16" s="10" t="s">
        <v>0</v>
      </c>
      <c r="J16" s="11">
        <v>30</v>
      </c>
    </row>
    <row r="17" spans="1:10" x14ac:dyDescent="0.35">
      <c r="A17" s="17">
        <v>8.8000000000000007</v>
      </c>
      <c r="B17" s="10" t="s">
        <v>29</v>
      </c>
      <c r="C17" s="10">
        <v>1992</v>
      </c>
      <c r="D17" s="10">
        <v>84</v>
      </c>
      <c r="E17" s="10">
        <v>44</v>
      </c>
      <c r="F17" s="10">
        <v>40</v>
      </c>
      <c r="G17" s="10">
        <v>16</v>
      </c>
      <c r="H17" s="10">
        <v>56</v>
      </c>
      <c r="I17" s="10" t="s">
        <v>0</v>
      </c>
      <c r="J17" s="11">
        <v>30</v>
      </c>
    </row>
    <row r="18" spans="1:10" x14ac:dyDescent="0.35">
      <c r="A18" s="17">
        <v>12</v>
      </c>
      <c r="B18" s="10" t="s">
        <v>31</v>
      </c>
      <c r="C18" s="10">
        <v>1993</v>
      </c>
      <c r="D18" s="10">
        <v>38</v>
      </c>
      <c r="E18" s="10">
        <v>26</v>
      </c>
      <c r="F18" s="10">
        <v>36</v>
      </c>
      <c r="G18" s="10">
        <v>38</v>
      </c>
      <c r="H18" s="10">
        <v>74</v>
      </c>
      <c r="I18" s="10">
        <v>4145</v>
      </c>
      <c r="J18" s="11">
        <v>2</v>
      </c>
    </row>
    <row r="19" spans="1:10" ht="15" thickBot="1" x14ac:dyDescent="0.4">
      <c r="A19" s="7"/>
      <c r="B19" s="12"/>
      <c r="C19" s="8"/>
      <c r="D19" s="8"/>
      <c r="E19" s="12"/>
      <c r="F19" s="8"/>
      <c r="G19" s="8"/>
      <c r="H19" s="8"/>
      <c r="I19" s="12"/>
      <c r="J19" s="13"/>
    </row>
  </sheetData>
  <mergeCells count="16">
    <mergeCell ref="B7:J7"/>
    <mergeCell ref="A1:J2"/>
    <mergeCell ref="A3:J3"/>
    <mergeCell ref="A4:J4"/>
    <mergeCell ref="B5:J5"/>
    <mergeCell ref="B6:J6"/>
    <mergeCell ref="B8:J8"/>
    <mergeCell ref="B9:J9"/>
    <mergeCell ref="B10:J10"/>
    <mergeCell ref="B11:J11"/>
    <mergeCell ref="B13:B14"/>
    <mergeCell ref="C13:C14"/>
    <mergeCell ref="D13:D14"/>
    <mergeCell ref="E13:E14"/>
    <mergeCell ref="F13:H13"/>
    <mergeCell ref="I13:I14"/>
  </mergeCells>
  <pageMargins left="0.7" right="0.7" top="0.75" bottom="0.75" header="0.3" footer="0.3"/>
  <pageSetup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83699-B857-4D62-BB9B-E0271A00D186}">
  <sheetPr>
    <tabColor rgb="FFFFFF00"/>
  </sheetPr>
  <dimension ref="A1:J27"/>
  <sheetViews>
    <sheetView topLeftCell="A7" zoomScale="130" zoomScaleNormal="130" workbookViewId="0">
      <selection activeCell="A4" sqref="A4:K4"/>
    </sheetView>
  </sheetViews>
  <sheetFormatPr defaultColWidth="9.1796875" defaultRowHeight="14.5" x14ac:dyDescent="0.35"/>
  <cols>
    <col min="1" max="1" width="20.1796875" bestFit="1" customWidth="1"/>
    <col min="2" max="2" width="14.26953125" style="1" bestFit="1" customWidth="1"/>
    <col min="3" max="3" width="8.1796875" style="1" customWidth="1"/>
    <col min="4" max="4" width="10.54296875" style="1" customWidth="1"/>
    <col min="5" max="5" width="9.54296875" style="1" customWidth="1"/>
    <col min="6" max="6" width="12.1796875" style="1" customWidth="1"/>
    <col min="7" max="7" width="12.54296875" style="1" customWidth="1"/>
    <col min="8" max="8" width="8.81640625" style="1" bestFit="1" customWidth="1"/>
    <col min="9" max="9" width="14.1796875" style="1" customWidth="1"/>
    <col min="10" max="10" width="7" style="1" bestFit="1" customWidth="1"/>
  </cols>
  <sheetData>
    <row r="1" spans="1:10" x14ac:dyDescent="0.35">
      <c r="A1" s="66" t="s">
        <v>16</v>
      </c>
      <c r="B1" s="67"/>
      <c r="C1" s="67"/>
      <c r="D1" s="67"/>
      <c r="E1" s="67"/>
      <c r="F1" s="67"/>
      <c r="G1" s="67"/>
      <c r="H1" s="67"/>
      <c r="I1" s="67"/>
      <c r="J1" s="68"/>
    </row>
    <row r="2" spans="1:10" x14ac:dyDescent="0.35">
      <c r="A2" s="69"/>
      <c r="B2" s="70"/>
      <c r="C2" s="70"/>
      <c r="D2" s="70"/>
      <c r="E2" s="70"/>
      <c r="F2" s="70"/>
      <c r="G2" s="70"/>
      <c r="H2" s="70"/>
      <c r="I2" s="70"/>
      <c r="J2" s="71"/>
    </row>
    <row r="3" spans="1:10" x14ac:dyDescent="0.35">
      <c r="A3" s="72" t="s">
        <v>136</v>
      </c>
      <c r="B3" s="73"/>
      <c r="C3" s="73"/>
      <c r="D3" s="73"/>
      <c r="E3" s="73"/>
      <c r="F3" s="73"/>
      <c r="G3" s="73"/>
      <c r="H3" s="73"/>
      <c r="I3" s="73"/>
      <c r="J3" s="74"/>
    </row>
    <row r="4" spans="1:10" x14ac:dyDescent="0.35">
      <c r="A4" s="81"/>
      <c r="B4" s="76"/>
      <c r="C4" s="76"/>
      <c r="D4" s="76"/>
      <c r="E4" s="76"/>
      <c r="F4" s="76"/>
      <c r="G4" s="76"/>
      <c r="H4" s="76"/>
      <c r="I4" s="76"/>
      <c r="J4" s="77"/>
    </row>
    <row r="5" spans="1:10" x14ac:dyDescent="0.35">
      <c r="A5" s="2" t="s">
        <v>11</v>
      </c>
      <c r="B5" s="73">
        <v>932</v>
      </c>
      <c r="C5" s="73"/>
      <c r="D5" s="73"/>
      <c r="E5" s="73"/>
      <c r="F5" s="73"/>
      <c r="G5" s="73"/>
      <c r="H5" s="73"/>
      <c r="I5" s="73"/>
      <c r="J5" s="74"/>
    </row>
    <row r="6" spans="1:10" x14ac:dyDescent="0.35">
      <c r="A6" s="3" t="s">
        <v>12</v>
      </c>
      <c r="B6" s="73" t="s">
        <v>55</v>
      </c>
      <c r="C6" s="73"/>
      <c r="D6" s="73"/>
      <c r="E6" s="73"/>
      <c r="F6" s="73"/>
      <c r="G6" s="73"/>
      <c r="H6" s="73"/>
      <c r="I6" s="73"/>
      <c r="J6" s="74"/>
    </row>
    <row r="7" spans="1:10" x14ac:dyDescent="0.35">
      <c r="A7" s="3" t="s">
        <v>13</v>
      </c>
      <c r="B7" s="73" t="s">
        <v>14</v>
      </c>
      <c r="C7" s="73"/>
      <c r="D7" s="73"/>
      <c r="E7" s="73"/>
      <c r="F7" s="73"/>
      <c r="G7" s="73"/>
      <c r="H7" s="73"/>
      <c r="I7" s="73"/>
      <c r="J7" s="74"/>
    </row>
    <row r="8" spans="1:10" x14ac:dyDescent="0.35">
      <c r="A8" s="3" t="s">
        <v>1</v>
      </c>
      <c r="B8" s="73" t="s">
        <v>17</v>
      </c>
      <c r="C8" s="73"/>
      <c r="D8" s="73"/>
      <c r="E8" s="73"/>
      <c r="F8" s="73"/>
      <c r="G8" s="73"/>
      <c r="H8" s="73"/>
      <c r="I8" s="73"/>
      <c r="J8" s="74"/>
    </row>
    <row r="9" spans="1:10" x14ac:dyDescent="0.35">
      <c r="A9" s="3" t="s">
        <v>15</v>
      </c>
      <c r="B9" s="73">
        <v>12</v>
      </c>
      <c r="C9" s="73"/>
      <c r="D9" s="73"/>
      <c r="E9" s="73"/>
      <c r="F9" s="73"/>
      <c r="G9" s="73"/>
      <c r="H9" s="73"/>
      <c r="I9" s="73"/>
      <c r="J9" s="74"/>
    </row>
    <row r="10" spans="1:10" x14ac:dyDescent="0.35">
      <c r="A10" s="9" t="s">
        <v>18</v>
      </c>
      <c r="B10" s="88">
        <v>0.43</v>
      </c>
      <c r="C10" s="88"/>
      <c r="D10" s="88"/>
      <c r="E10" s="88"/>
      <c r="F10" s="88"/>
      <c r="G10" s="88"/>
      <c r="H10" s="88"/>
      <c r="I10" s="89"/>
      <c r="J10" s="90"/>
    </row>
    <row r="11" spans="1:10" x14ac:dyDescent="0.35">
      <c r="A11" s="4"/>
      <c r="B11" s="75" t="s">
        <v>21</v>
      </c>
      <c r="C11" s="76"/>
      <c r="D11" s="76"/>
      <c r="E11" s="76"/>
      <c r="F11" s="76"/>
      <c r="G11" s="76"/>
      <c r="H11" s="76"/>
      <c r="I11" s="76"/>
      <c r="J11" s="77"/>
    </row>
    <row r="12" spans="1:10" x14ac:dyDescent="0.35">
      <c r="A12" s="4"/>
      <c r="B12" s="14"/>
      <c r="C12" s="15"/>
      <c r="D12" s="15"/>
      <c r="F12" s="15"/>
      <c r="G12" s="15"/>
      <c r="H12" s="15"/>
      <c r="I12" s="18"/>
      <c r="J12" s="16"/>
    </row>
    <row r="13" spans="1:10" ht="15" customHeight="1" x14ac:dyDescent="0.35">
      <c r="A13" s="4"/>
      <c r="B13" s="91" t="s">
        <v>24</v>
      </c>
      <c r="C13" s="91" t="s">
        <v>19</v>
      </c>
      <c r="D13" s="91" t="s">
        <v>20</v>
      </c>
      <c r="E13" s="91" t="s">
        <v>2</v>
      </c>
      <c r="F13" s="76" t="s">
        <v>22</v>
      </c>
      <c r="G13" s="76"/>
      <c r="H13" s="76"/>
      <c r="I13" s="91" t="s">
        <v>70</v>
      </c>
      <c r="J13" s="16"/>
    </row>
    <row r="14" spans="1:10" x14ac:dyDescent="0.35">
      <c r="A14" s="17" t="s">
        <v>9</v>
      </c>
      <c r="B14" s="91"/>
      <c r="C14" s="91"/>
      <c r="D14" s="91"/>
      <c r="E14" s="91"/>
      <c r="F14" s="22" t="s">
        <v>25</v>
      </c>
      <c r="G14" s="5" t="s">
        <v>26</v>
      </c>
      <c r="H14" s="14" t="s">
        <v>23</v>
      </c>
      <c r="I14" s="91"/>
      <c r="J14" s="16" t="s">
        <v>3</v>
      </c>
    </row>
    <row r="15" spans="1:10" x14ac:dyDescent="0.35">
      <c r="A15" s="17">
        <v>2.9</v>
      </c>
      <c r="B15" s="10" t="s">
        <v>31</v>
      </c>
      <c r="C15" s="10">
        <v>1993</v>
      </c>
      <c r="D15" s="10">
        <v>41</v>
      </c>
      <c r="E15" s="10">
        <v>37</v>
      </c>
      <c r="F15" s="10">
        <v>27</v>
      </c>
      <c r="G15" s="10">
        <v>36</v>
      </c>
      <c r="H15" s="10">
        <v>63</v>
      </c>
      <c r="I15" s="10">
        <v>3935</v>
      </c>
      <c r="J15" s="11">
        <v>2</v>
      </c>
    </row>
    <row r="16" spans="1:10" x14ac:dyDescent="0.35">
      <c r="A16" s="17">
        <v>3.1</v>
      </c>
      <c r="B16" s="10" t="s">
        <v>31</v>
      </c>
      <c r="C16" s="10">
        <v>1993</v>
      </c>
      <c r="D16" s="10">
        <v>21</v>
      </c>
      <c r="E16" s="10">
        <v>38</v>
      </c>
      <c r="F16" s="10">
        <v>29</v>
      </c>
      <c r="G16" s="10">
        <v>33</v>
      </c>
      <c r="H16" s="10">
        <v>62</v>
      </c>
      <c r="I16" s="10">
        <v>2580</v>
      </c>
      <c r="J16" s="11">
        <v>2</v>
      </c>
    </row>
    <row r="17" spans="1:10" x14ac:dyDescent="0.35">
      <c r="A17" s="17">
        <v>4.5999999999999996</v>
      </c>
      <c r="B17" s="10" t="s">
        <v>29</v>
      </c>
      <c r="C17" s="10">
        <v>1992</v>
      </c>
      <c r="D17" s="10">
        <v>276</v>
      </c>
      <c r="E17" s="10">
        <v>63</v>
      </c>
      <c r="F17" s="10" t="s">
        <v>0</v>
      </c>
      <c r="G17" s="10" t="s">
        <v>0</v>
      </c>
      <c r="H17" s="10">
        <v>37</v>
      </c>
      <c r="I17" s="10" t="s">
        <v>0</v>
      </c>
      <c r="J17" s="11">
        <v>30</v>
      </c>
    </row>
    <row r="18" spans="1:10" x14ac:dyDescent="0.35">
      <c r="A18" s="17">
        <v>5</v>
      </c>
      <c r="B18" s="10" t="s">
        <v>29</v>
      </c>
      <c r="C18" s="10">
        <v>1992</v>
      </c>
      <c r="D18" s="10">
        <v>65</v>
      </c>
      <c r="E18" s="10">
        <v>58</v>
      </c>
      <c r="F18" s="10" t="s">
        <v>0</v>
      </c>
      <c r="G18" s="10" t="s">
        <v>0</v>
      </c>
      <c r="H18" s="10">
        <v>42</v>
      </c>
      <c r="I18" s="10" t="s">
        <v>0</v>
      </c>
      <c r="J18" s="11">
        <v>30</v>
      </c>
    </row>
    <row r="19" spans="1:10" x14ac:dyDescent="0.35">
      <c r="A19" s="17">
        <v>5.3</v>
      </c>
      <c r="B19" s="10" t="s">
        <v>31</v>
      </c>
      <c r="C19" s="10">
        <v>1993</v>
      </c>
      <c r="D19" s="10">
        <v>24</v>
      </c>
      <c r="E19" s="10">
        <v>50</v>
      </c>
      <c r="F19" s="10">
        <v>37</v>
      </c>
      <c r="G19" s="10">
        <v>13</v>
      </c>
      <c r="H19" s="10">
        <v>50</v>
      </c>
      <c r="I19" s="10">
        <v>1615</v>
      </c>
      <c r="J19" s="11">
        <v>2</v>
      </c>
    </row>
    <row r="20" spans="1:10" x14ac:dyDescent="0.35">
      <c r="A20" s="17">
        <v>5.7</v>
      </c>
      <c r="B20" s="10" t="s">
        <v>29</v>
      </c>
      <c r="C20" s="10">
        <v>1994</v>
      </c>
      <c r="D20" s="10">
        <v>308</v>
      </c>
      <c r="E20" s="10">
        <v>57</v>
      </c>
      <c r="F20" s="10" t="s">
        <v>0</v>
      </c>
      <c r="G20" s="10" t="s">
        <v>0</v>
      </c>
      <c r="H20" s="10">
        <v>43</v>
      </c>
      <c r="I20" s="10" t="s">
        <v>0</v>
      </c>
      <c r="J20" s="11">
        <v>30</v>
      </c>
    </row>
    <row r="21" spans="1:10" x14ac:dyDescent="0.35">
      <c r="A21" s="17">
        <v>5.8</v>
      </c>
      <c r="B21" s="10" t="s">
        <v>29</v>
      </c>
      <c r="C21" s="10">
        <v>1992</v>
      </c>
      <c r="D21" s="10">
        <v>150</v>
      </c>
      <c r="E21" s="10">
        <v>32</v>
      </c>
      <c r="F21" s="10" t="s">
        <v>0</v>
      </c>
      <c r="G21" s="10" t="s">
        <v>0</v>
      </c>
      <c r="H21" s="10">
        <v>68</v>
      </c>
      <c r="I21" s="10" t="s">
        <v>0</v>
      </c>
      <c r="J21" s="11">
        <v>30</v>
      </c>
    </row>
    <row r="22" spans="1:10" x14ac:dyDescent="0.35">
      <c r="A22" s="17">
        <v>6.2</v>
      </c>
      <c r="B22" s="10" t="s">
        <v>29</v>
      </c>
      <c r="C22" s="10">
        <v>1995</v>
      </c>
      <c r="D22" s="10">
        <v>521</v>
      </c>
      <c r="E22" s="10">
        <v>46</v>
      </c>
      <c r="F22" s="10">
        <v>43</v>
      </c>
      <c r="G22" s="10">
        <v>11</v>
      </c>
      <c r="H22" s="10">
        <v>54</v>
      </c>
      <c r="I22" s="10" t="s">
        <v>0</v>
      </c>
      <c r="J22" s="11">
        <v>30</v>
      </c>
    </row>
    <row r="23" spans="1:10" x14ac:dyDescent="0.35">
      <c r="A23" s="17">
        <v>7.1</v>
      </c>
      <c r="B23" s="10" t="s">
        <v>74</v>
      </c>
      <c r="C23" s="10">
        <v>1993</v>
      </c>
      <c r="D23" s="10" t="s">
        <v>0</v>
      </c>
      <c r="E23" s="10">
        <v>23</v>
      </c>
      <c r="F23" s="10">
        <v>23</v>
      </c>
      <c r="G23" s="10">
        <v>54</v>
      </c>
      <c r="H23" s="10">
        <v>77</v>
      </c>
      <c r="I23" s="10">
        <v>1565</v>
      </c>
      <c r="J23" s="11">
        <v>2</v>
      </c>
    </row>
    <row r="24" spans="1:10" x14ac:dyDescent="0.35">
      <c r="A24" s="17">
        <v>8</v>
      </c>
      <c r="B24" s="10" t="s">
        <v>29</v>
      </c>
      <c r="C24" s="10">
        <v>1995</v>
      </c>
      <c r="D24" s="10">
        <v>664</v>
      </c>
      <c r="E24" s="10">
        <v>40</v>
      </c>
      <c r="F24" s="10">
        <v>39</v>
      </c>
      <c r="G24" s="10">
        <v>21</v>
      </c>
      <c r="H24" s="10">
        <v>60</v>
      </c>
      <c r="I24" s="10" t="s">
        <v>0</v>
      </c>
      <c r="J24" s="11">
        <v>30</v>
      </c>
    </row>
    <row r="25" spans="1:10" x14ac:dyDescent="0.35">
      <c r="A25" s="17">
        <v>11</v>
      </c>
      <c r="B25" s="10" t="s">
        <v>29</v>
      </c>
      <c r="C25" s="10">
        <v>1996</v>
      </c>
      <c r="D25" s="10">
        <v>267</v>
      </c>
      <c r="E25" s="10">
        <v>38</v>
      </c>
      <c r="F25" s="10">
        <v>43</v>
      </c>
      <c r="G25" s="10">
        <v>19</v>
      </c>
      <c r="H25" s="10">
        <v>62</v>
      </c>
      <c r="I25" s="10" t="s">
        <v>0</v>
      </c>
      <c r="J25" s="11">
        <v>30</v>
      </c>
    </row>
    <row r="26" spans="1:10" x14ac:dyDescent="0.35">
      <c r="A26" s="17">
        <v>12</v>
      </c>
      <c r="B26" s="10" t="s">
        <v>29</v>
      </c>
      <c r="C26" s="10">
        <v>1996</v>
      </c>
      <c r="D26" s="10">
        <v>317</v>
      </c>
      <c r="E26" s="10">
        <v>29</v>
      </c>
      <c r="F26" s="10">
        <v>51</v>
      </c>
      <c r="G26" s="10">
        <v>20</v>
      </c>
      <c r="H26" s="10">
        <v>71</v>
      </c>
      <c r="I26" s="10" t="s">
        <v>0</v>
      </c>
      <c r="J26" s="11">
        <v>30</v>
      </c>
    </row>
    <row r="27" spans="1:10" ht="15" thickBot="1" x14ac:dyDescent="0.4">
      <c r="A27" s="7"/>
      <c r="B27" s="12"/>
      <c r="C27" s="8"/>
      <c r="D27" s="8"/>
      <c r="E27" s="12"/>
      <c r="F27" s="8"/>
      <c r="G27" s="8"/>
      <c r="H27" s="8"/>
      <c r="I27" s="12"/>
      <c r="J27" s="13"/>
    </row>
  </sheetData>
  <mergeCells count="16">
    <mergeCell ref="B7:J7"/>
    <mergeCell ref="A1:J2"/>
    <mergeCell ref="A3:J3"/>
    <mergeCell ref="A4:J4"/>
    <mergeCell ref="B5:J5"/>
    <mergeCell ref="B6:J6"/>
    <mergeCell ref="B8:J8"/>
    <mergeCell ref="B9:J9"/>
    <mergeCell ref="B10:J10"/>
    <mergeCell ref="B11:J11"/>
    <mergeCell ref="B13:B14"/>
    <mergeCell ref="C13:C14"/>
    <mergeCell ref="D13:D14"/>
    <mergeCell ref="E13:E14"/>
    <mergeCell ref="F13:H13"/>
    <mergeCell ref="I13:I14"/>
  </mergeCells>
  <pageMargins left="0.7" right="0.7" top="0.75" bottom="0.75" header="0.3" footer="0.3"/>
  <pageSetup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AB6DC-5731-46A1-A462-80625AE56339}">
  <sheetPr>
    <tabColor rgb="FFFFFF00"/>
  </sheetPr>
  <dimension ref="A1:J20"/>
  <sheetViews>
    <sheetView zoomScale="130" zoomScaleNormal="130" workbookViewId="0">
      <selection activeCell="B9" sqref="B9:J9"/>
    </sheetView>
  </sheetViews>
  <sheetFormatPr defaultColWidth="9.1796875" defaultRowHeight="14.5" x14ac:dyDescent="0.35"/>
  <cols>
    <col min="1" max="1" width="20.1796875" bestFit="1" customWidth="1"/>
    <col min="2" max="2" width="14.26953125" style="1" bestFit="1" customWidth="1"/>
    <col min="3" max="3" width="8.1796875" style="1" customWidth="1"/>
    <col min="4" max="4" width="10.54296875" style="1" customWidth="1"/>
    <col min="5" max="5" width="9.54296875" style="1" customWidth="1"/>
    <col min="6" max="6" width="12.1796875" style="1" customWidth="1"/>
    <col min="7" max="7" width="12.54296875" style="1" customWidth="1"/>
    <col min="8" max="8" width="8.81640625" style="1" bestFit="1" customWidth="1"/>
    <col min="9" max="9" width="14.1796875" style="1" customWidth="1"/>
    <col min="10" max="10" width="7" style="1" bestFit="1" customWidth="1"/>
  </cols>
  <sheetData>
    <row r="1" spans="1:10" x14ac:dyDescent="0.35">
      <c r="A1" s="66" t="s">
        <v>16</v>
      </c>
      <c r="B1" s="67"/>
      <c r="C1" s="67"/>
      <c r="D1" s="67"/>
      <c r="E1" s="67"/>
      <c r="F1" s="67"/>
      <c r="G1" s="67"/>
      <c r="H1" s="67"/>
      <c r="I1" s="67"/>
      <c r="J1" s="68"/>
    </row>
    <row r="2" spans="1:10" x14ac:dyDescent="0.35">
      <c r="A2" s="69"/>
      <c r="B2" s="70"/>
      <c r="C2" s="70"/>
      <c r="D2" s="70"/>
      <c r="E2" s="70"/>
      <c r="F2" s="70"/>
      <c r="G2" s="70"/>
      <c r="H2" s="70"/>
      <c r="I2" s="70"/>
      <c r="J2" s="71"/>
    </row>
    <row r="3" spans="1:10" x14ac:dyDescent="0.35">
      <c r="A3" s="72" t="s">
        <v>136</v>
      </c>
      <c r="B3" s="73"/>
      <c r="C3" s="73"/>
      <c r="D3" s="73"/>
      <c r="E3" s="73"/>
      <c r="F3" s="73"/>
      <c r="G3" s="73"/>
      <c r="H3" s="73"/>
      <c r="I3" s="73"/>
      <c r="J3" s="74"/>
    </row>
    <row r="4" spans="1:10" x14ac:dyDescent="0.35">
      <c r="A4" s="81"/>
      <c r="B4" s="76"/>
      <c r="C4" s="76"/>
      <c r="D4" s="76"/>
      <c r="E4" s="76"/>
      <c r="F4" s="76"/>
      <c r="G4" s="76"/>
      <c r="H4" s="76"/>
      <c r="I4" s="76"/>
      <c r="J4" s="77"/>
    </row>
    <row r="5" spans="1:10" x14ac:dyDescent="0.35">
      <c r="A5" s="2" t="s">
        <v>11</v>
      </c>
      <c r="B5" s="73">
        <v>934</v>
      </c>
      <c r="C5" s="73"/>
      <c r="D5" s="73"/>
      <c r="E5" s="73"/>
      <c r="F5" s="73"/>
      <c r="G5" s="73"/>
      <c r="H5" s="73"/>
      <c r="I5" s="73"/>
      <c r="J5" s="74"/>
    </row>
    <row r="6" spans="1:10" x14ac:dyDescent="0.35">
      <c r="A6" s="3" t="s">
        <v>12</v>
      </c>
      <c r="B6" s="73" t="s">
        <v>56</v>
      </c>
      <c r="C6" s="73"/>
      <c r="D6" s="73"/>
      <c r="E6" s="73"/>
      <c r="F6" s="73"/>
      <c r="G6" s="73"/>
      <c r="H6" s="73"/>
      <c r="I6" s="73"/>
      <c r="J6" s="74"/>
    </row>
    <row r="7" spans="1:10" x14ac:dyDescent="0.35">
      <c r="A7" s="3" t="s">
        <v>13</v>
      </c>
      <c r="B7" s="73" t="s">
        <v>14</v>
      </c>
      <c r="C7" s="73"/>
      <c r="D7" s="73"/>
      <c r="E7" s="73"/>
      <c r="F7" s="73"/>
      <c r="G7" s="73"/>
      <c r="H7" s="73"/>
      <c r="I7" s="73"/>
      <c r="J7" s="74"/>
    </row>
    <row r="8" spans="1:10" x14ac:dyDescent="0.35">
      <c r="A8" s="3" t="s">
        <v>1</v>
      </c>
      <c r="B8" s="73" t="s">
        <v>53</v>
      </c>
      <c r="C8" s="73"/>
      <c r="D8" s="73"/>
      <c r="E8" s="73"/>
      <c r="F8" s="73"/>
      <c r="G8" s="73"/>
      <c r="H8" s="73"/>
      <c r="I8" s="73"/>
      <c r="J8" s="74"/>
    </row>
    <row r="9" spans="1:10" x14ac:dyDescent="0.35">
      <c r="A9" s="3" t="s">
        <v>15</v>
      </c>
      <c r="B9" s="73">
        <v>5</v>
      </c>
      <c r="C9" s="73"/>
      <c r="D9" s="73"/>
      <c r="E9" s="73"/>
      <c r="F9" s="73"/>
      <c r="G9" s="73"/>
      <c r="H9" s="73"/>
      <c r="I9" s="73"/>
      <c r="J9" s="74"/>
    </row>
    <row r="10" spans="1:10" x14ac:dyDescent="0.35">
      <c r="A10" s="9" t="s">
        <v>18</v>
      </c>
      <c r="B10" s="88">
        <v>0.5</v>
      </c>
      <c r="C10" s="88"/>
      <c r="D10" s="88"/>
      <c r="E10" s="88"/>
      <c r="F10" s="88"/>
      <c r="G10" s="88"/>
      <c r="H10" s="88"/>
      <c r="I10" s="89"/>
      <c r="J10" s="90"/>
    </row>
    <row r="11" spans="1:10" x14ac:dyDescent="0.35">
      <c r="A11" s="4"/>
      <c r="B11" s="75" t="s">
        <v>21</v>
      </c>
      <c r="C11" s="76"/>
      <c r="D11" s="76"/>
      <c r="E11" s="76"/>
      <c r="F11" s="76"/>
      <c r="G11" s="76"/>
      <c r="H11" s="76"/>
      <c r="I11" s="76"/>
      <c r="J11" s="77"/>
    </row>
    <row r="12" spans="1:10" x14ac:dyDescent="0.35">
      <c r="A12" s="4"/>
      <c r="B12" s="14"/>
      <c r="C12" s="15"/>
      <c r="D12" s="15"/>
      <c r="F12" s="15"/>
      <c r="G12" s="15"/>
      <c r="H12" s="15"/>
      <c r="I12" s="18"/>
      <c r="J12" s="16"/>
    </row>
    <row r="13" spans="1:10" ht="15" customHeight="1" x14ac:dyDescent="0.35">
      <c r="A13" s="4"/>
      <c r="B13" s="91" t="s">
        <v>24</v>
      </c>
      <c r="C13" s="91" t="s">
        <v>19</v>
      </c>
      <c r="D13" s="91" t="s">
        <v>20</v>
      </c>
      <c r="E13" s="91" t="s">
        <v>2</v>
      </c>
      <c r="F13" s="76" t="s">
        <v>22</v>
      </c>
      <c r="G13" s="76"/>
      <c r="H13" s="76"/>
      <c r="I13" s="91" t="s">
        <v>70</v>
      </c>
      <c r="J13" s="16"/>
    </row>
    <row r="14" spans="1:10" x14ac:dyDescent="0.35">
      <c r="A14" s="17" t="s">
        <v>9</v>
      </c>
      <c r="B14" s="91"/>
      <c r="C14" s="91"/>
      <c r="D14" s="91"/>
      <c r="E14" s="91"/>
      <c r="F14" s="22" t="s">
        <v>25</v>
      </c>
      <c r="G14" s="5" t="s">
        <v>26</v>
      </c>
      <c r="H14" s="14" t="s">
        <v>23</v>
      </c>
      <c r="I14" s="91"/>
      <c r="J14" s="16" t="s">
        <v>3</v>
      </c>
    </row>
    <row r="15" spans="1:10" x14ac:dyDescent="0.35">
      <c r="A15" s="17">
        <v>1.4</v>
      </c>
      <c r="B15" s="10" t="s">
        <v>31</v>
      </c>
      <c r="C15" s="10">
        <v>1993</v>
      </c>
      <c r="D15" s="10" t="s">
        <v>0</v>
      </c>
      <c r="E15" s="10">
        <v>62</v>
      </c>
      <c r="F15" s="10">
        <v>22</v>
      </c>
      <c r="G15" s="10">
        <v>16</v>
      </c>
      <c r="H15" s="10">
        <v>38</v>
      </c>
      <c r="I15" s="10">
        <v>1407</v>
      </c>
      <c r="J15" s="11">
        <v>2</v>
      </c>
    </row>
    <row r="16" spans="1:10" x14ac:dyDescent="0.35">
      <c r="A16" s="17">
        <v>3</v>
      </c>
      <c r="B16" s="10" t="s">
        <v>31</v>
      </c>
      <c r="C16" s="10">
        <v>1993</v>
      </c>
      <c r="D16" s="10" t="s">
        <v>0</v>
      </c>
      <c r="E16" s="10">
        <v>43</v>
      </c>
      <c r="F16" s="10">
        <v>14</v>
      </c>
      <c r="G16" s="10">
        <v>43</v>
      </c>
      <c r="H16" s="10">
        <v>57</v>
      </c>
      <c r="I16" s="10">
        <v>2903</v>
      </c>
      <c r="J16" s="11">
        <v>2</v>
      </c>
    </row>
    <row r="17" spans="1:10" x14ac:dyDescent="0.35">
      <c r="A17" s="17">
        <v>3.3</v>
      </c>
      <c r="B17" s="19" t="s">
        <v>65</v>
      </c>
      <c r="C17" s="10">
        <v>1996</v>
      </c>
      <c r="D17" s="10" t="s">
        <v>0</v>
      </c>
      <c r="E17" s="10">
        <v>68</v>
      </c>
      <c r="F17" s="10" t="s">
        <v>0</v>
      </c>
      <c r="G17" s="10" t="s">
        <v>0</v>
      </c>
      <c r="H17" s="10">
        <v>32</v>
      </c>
      <c r="I17" s="10" t="s">
        <v>0</v>
      </c>
      <c r="J17" s="11">
        <v>21</v>
      </c>
    </row>
    <row r="18" spans="1:10" x14ac:dyDescent="0.35">
      <c r="A18" s="17">
        <v>3.6</v>
      </c>
      <c r="B18" s="10" t="s">
        <v>31</v>
      </c>
      <c r="C18" s="10">
        <v>1993</v>
      </c>
      <c r="D18" s="10" t="s">
        <v>0</v>
      </c>
      <c r="E18" s="10">
        <v>32</v>
      </c>
      <c r="F18" s="10">
        <v>47</v>
      </c>
      <c r="G18" s="10">
        <v>21</v>
      </c>
      <c r="H18" s="10">
        <v>68</v>
      </c>
      <c r="I18" s="10">
        <v>437</v>
      </c>
      <c r="J18" s="11">
        <v>2</v>
      </c>
    </row>
    <row r="19" spans="1:10" x14ac:dyDescent="0.35">
      <c r="A19" s="17">
        <v>4.2</v>
      </c>
      <c r="B19" s="10" t="s">
        <v>74</v>
      </c>
      <c r="C19" s="10">
        <v>1993</v>
      </c>
      <c r="D19" s="10" t="s">
        <v>0</v>
      </c>
      <c r="E19" s="10">
        <v>46</v>
      </c>
      <c r="F19" s="10">
        <v>23</v>
      </c>
      <c r="G19" s="10">
        <v>31</v>
      </c>
      <c r="H19" s="10">
        <v>54</v>
      </c>
      <c r="I19" s="10">
        <v>1049</v>
      </c>
      <c r="J19" s="11">
        <v>2</v>
      </c>
    </row>
    <row r="20" spans="1:10" ht="15" thickBot="1" x14ac:dyDescent="0.4">
      <c r="A20" s="7"/>
      <c r="B20" s="12"/>
      <c r="C20" s="8"/>
      <c r="D20" s="8"/>
      <c r="E20" s="12"/>
      <c r="F20" s="8"/>
      <c r="G20" s="8"/>
      <c r="H20" s="8"/>
      <c r="I20" s="12"/>
      <c r="J20" s="13"/>
    </row>
  </sheetData>
  <mergeCells count="16">
    <mergeCell ref="B7:J7"/>
    <mergeCell ref="A1:J2"/>
    <mergeCell ref="A3:J3"/>
    <mergeCell ref="A4:J4"/>
    <mergeCell ref="B5:J5"/>
    <mergeCell ref="B6:J6"/>
    <mergeCell ref="B8:J8"/>
    <mergeCell ref="B9:J9"/>
    <mergeCell ref="B10:J10"/>
    <mergeCell ref="B11:J11"/>
    <mergeCell ref="B13:B14"/>
    <mergeCell ref="C13:C14"/>
    <mergeCell ref="D13:D14"/>
    <mergeCell ref="E13:E14"/>
    <mergeCell ref="F13:H13"/>
    <mergeCell ref="I13:I14"/>
  </mergeCells>
  <pageMargins left="0.7" right="0.7" top="0.75" bottom="0.75" header="0.3" footer="0.3"/>
  <pageSetup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4C305-26C1-4645-B0EA-863149BFD6DA}">
  <sheetPr>
    <tabColor rgb="FFFFFF00"/>
  </sheetPr>
  <dimension ref="A1:J26"/>
  <sheetViews>
    <sheetView zoomScale="130" zoomScaleNormal="130" workbookViewId="0">
      <selection activeCell="A14" sqref="A14"/>
    </sheetView>
  </sheetViews>
  <sheetFormatPr defaultColWidth="9.1796875" defaultRowHeight="14.5" x14ac:dyDescent="0.35"/>
  <cols>
    <col min="1" max="1" width="20.1796875" bestFit="1" customWidth="1"/>
    <col min="2" max="2" width="14.26953125" style="1" bestFit="1" customWidth="1"/>
    <col min="3" max="3" width="8.1796875" style="1" customWidth="1"/>
    <col min="4" max="4" width="10.54296875" style="1" customWidth="1"/>
    <col min="5" max="5" width="9.54296875" style="1" customWidth="1"/>
    <col min="6" max="6" width="12.1796875" style="1" customWidth="1"/>
    <col min="7" max="7" width="12.54296875" style="1" customWidth="1"/>
    <col min="8" max="8" width="8.81640625" style="1" bestFit="1" customWidth="1"/>
    <col min="9" max="9" width="14.1796875" style="1" customWidth="1"/>
    <col min="10" max="10" width="7" style="1" bestFit="1" customWidth="1"/>
  </cols>
  <sheetData>
    <row r="1" spans="1:10" x14ac:dyDescent="0.35">
      <c r="A1" s="66" t="s">
        <v>16</v>
      </c>
      <c r="B1" s="67"/>
      <c r="C1" s="67"/>
      <c r="D1" s="67"/>
      <c r="E1" s="67"/>
      <c r="F1" s="67"/>
      <c r="G1" s="67"/>
      <c r="H1" s="67"/>
      <c r="I1" s="67"/>
      <c r="J1" s="68"/>
    </row>
    <row r="2" spans="1:10" x14ac:dyDescent="0.35">
      <c r="A2" s="69"/>
      <c r="B2" s="70"/>
      <c r="C2" s="70"/>
      <c r="D2" s="70"/>
      <c r="E2" s="70"/>
      <c r="F2" s="70"/>
      <c r="G2" s="70"/>
      <c r="H2" s="70"/>
      <c r="I2" s="70"/>
      <c r="J2" s="71"/>
    </row>
    <row r="3" spans="1:10" x14ac:dyDescent="0.35">
      <c r="A3" s="72" t="s">
        <v>136</v>
      </c>
      <c r="B3" s="73"/>
      <c r="C3" s="73"/>
      <c r="D3" s="73"/>
      <c r="E3" s="73"/>
      <c r="F3" s="73"/>
      <c r="G3" s="73"/>
      <c r="H3" s="73"/>
      <c r="I3" s="73"/>
      <c r="J3" s="74"/>
    </row>
    <row r="4" spans="1:10" x14ac:dyDescent="0.35">
      <c r="A4" s="81"/>
      <c r="B4" s="76"/>
      <c r="C4" s="76"/>
      <c r="D4" s="76"/>
      <c r="E4" s="76"/>
      <c r="F4" s="76"/>
      <c r="G4" s="76"/>
      <c r="H4" s="76"/>
      <c r="I4" s="76"/>
      <c r="J4" s="77"/>
    </row>
    <row r="5" spans="1:10" x14ac:dyDescent="0.35">
      <c r="A5" s="2" t="s">
        <v>11</v>
      </c>
      <c r="B5" s="73">
        <v>934</v>
      </c>
      <c r="C5" s="73"/>
      <c r="D5" s="73"/>
      <c r="E5" s="73"/>
      <c r="F5" s="73"/>
      <c r="G5" s="73"/>
      <c r="H5" s="73"/>
      <c r="I5" s="73"/>
      <c r="J5" s="74"/>
    </row>
    <row r="6" spans="1:10" x14ac:dyDescent="0.35">
      <c r="A6" s="3" t="s">
        <v>12</v>
      </c>
      <c r="B6" s="73" t="s">
        <v>56</v>
      </c>
      <c r="C6" s="73"/>
      <c r="D6" s="73"/>
      <c r="E6" s="73"/>
      <c r="F6" s="73"/>
      <c r="G6" s="73"/>
      <c r="H6" s="73"/>
      <c r="I6" s="73"/>
      <c r="J6" s="74"/>
    </row>
    <row r="7" spans="1:10" x14ac:dyDescent="0.35">
      <c r="A7" s="3" t="s">
        <v>13</v>
      </c>
      <c r="B7" s="73" t="s">
        <v>14</v>
      </c>
      <c r="C7" s="73"/>
      <c r="D7" s="73"/>
      <c r="E7" s="73"/>
      <c r="F7" s="73"/>
      <c r="G7" s="73"/>
      <c r="H7" s="73"/>
      <c r="I7" s="73"/>
      <c r="J7" s="74"/>
    </row>
    <row r="8" spans="1:10" x14ac:dyDescent="0.35">
      <c r="A8" s="3" t="s">
        <v>1</v>
      </c>
      <c r="B8" s="73" t="s">
        <v>17</v>
      </c>
      <c r="C8" s="73"/>
      <c r="D8" s="73"/>
      <c r="E8" s="73"/>
      <c r="F8" s="73"/>
      <c r="G8" s="73"/>
      <c r="H8" s="73"/>
      <c r="I8" s="73"/>
      <c r="J8" s="74"/>
    </row>
    <row r="9" spans="1:10" x14ac:dyDescent="0.35">
      <c r="A9" s="3" t="s">
        <v>15</v>
      </c>
      <c r="B9" s="73">
        <v>11</v>
      </c>
      <c r="C9" s="73"/>
      <c r="D9" s="73"/>
      <c r="E9" s="73"/>
      <c r="F9" s="73"/>
      <c r="G9" s="73"/>
      <c r="H9" s="73"/>
      <c r="I9" s="73"/>
      <c r="J9" s="74"/>
    </row>
    <row r="10" spans="1:10" x14ac:dyDescent="0.35">
      <c r="A10" s="9" t="s">
        <v>18</v>
      </c>
      <c r="B10" s="88">
        <v>0.55000000000000004</v>
      </c>
      <c r="C10" s="88"/>
      <c r="D10" s="88"/>
      <c r="E10" s="88"/>
      <c r="F10" s="88"/>
      <c r="G10" s="88"/>
      <c r="H10" s="88"/>
      <c r="I10" s="89"/>
      <c r="J10" s="90"/>
    </row>
    <row r="11" spans="1:10" x14ac:dyDescent="0.35">
      <c r="A11" s="4"/>
      <c r="B11" s="75" t="s">
        <v>21</v>
      </c>
      <c r="C11" s="76"/>
      <c r="D11" s="76"/>
      <c r="E11" s="76"/>
      <c r="F11" s="76"/>
      <c r="G11" s="76"/>
      <c r="H11" s="76"/>
      <c r="I11" s="76"/>
      <c r="J11" s="77"/>
    </row>
    <row r="12" spans="1:10" x14ac:dyDescent="0.35">
      <c r="A12" s="4"/>
      <c r="B12" s="14"/>
      <c r="C12" s="15"/>
      <c r="D12" s="15"/>
      <c r="F12" s="15"/>
      <c r="G12" s="15"/>
      <c r="H12" s="15"/>
      <c r="I12" s="18"/>
      <c r="J12" s="16"/>
    </row>
    <row r="13" spans="1:10" ht="15" customHeight="1" x14ac:dyDescent="0.35">
      <c r="A13" s="4"/>
      <c r="B13" s="91" t="s">
        <v>24</v>
      </c>
      <c r="C13" s="91" t="s">
        <v>19</v>
      </c>
      <c r="D13" s="91" t="s">
        <v>20</v>
      </c>
      <c r="E13" s="91" t="s">
        <v>2</v>
      </c>
      <c r="F13" s="76" t="s">
        <v>22</v>
      </c>
      <c r="G13" s="76"/>
      <c r="H13" s="76"/>
      <c r="I13" s="91" t="s">
        <v>70</v>
      </c>
      <c r="J13" s="16"/>
    </row>
    <row r="14" spans="1:10" x14ac:dyDescent="0.35">
      <c r="A14" s="17" t="s">
        <v>9</v>
      </c>
      <c r="B14" s="91"/>
      <c r="C14" s="91"/>
      <c r="D14" s="91"/>
      <c r="E14" s="91"/>
      <c r="F14" s="22" t="s">
        <v>25</v>
      </c>
      <c r="G14" s="5" t="s">
        <v>26</v>
      </c>
      <c r="H14" s="14" t="s">
        <v>23</v>
      </c>
      <c r="I14" s="91"/>
      <c r="J14" s="16" t="s">
        <v>3</v>
      </c>
    </row>
    <row r="15" spans="1:10" x14ac:dyDescent="0.35">
      <c r="A15" s="17">
        <v>1.3</v>
      </c>
      <c r="B15" s="10" t="s">
        <v>31</v>
      </c>
      <c r="C15" s="10">
        <v>1993</v>
      </c>
      <c r="D15" s="10" t="s">
        <v>0</v>
      </c>
      <c r="E15" s="10">
        <v>68</v>
      </c>
      <c r="F15" s="10">
        <v>22</v>
      </c>
      <c r="G15" s="10">
        <v>10</v>
      </c>
      <c r="H15" s="10">
        <v>32</v>
      </c>
      <c r="I15" s="10">
        <v>2055</v>
      </c>
      <c r="J15" s="11">
        <v>2</v>
      </c>
    </row>
    <row r="16" spans="1:10" x14ac:dyDescent="0.35">
      <c r="A16" s="17">
        <v>1.9</v>
      </c>
      <c r="B16" s="10" t="s">
        <v>31</v>
      </c>
      <c r="C16" s="10">
        <v>1993</v>
      </c>
      <c r="D16" s="10">
        <v>33</v>
      </c>
      <c r="E16" s="10">
        <v>67</v>
      </c>
      <c r="F16" s="10">
        <v>24</v>
      </c>
      <c r="G16" s="10">
        <v>9</v>
      </c>
      <c r="H16" s="10">
        <v>33</v>
      </c>
      <c r="I16" s="10">
        <v>2447</v>
      </c>
      <c r="J16" s="11">
        <v>2</v>
      </c>
    </row>
    <row r="17" spans="1:10" x14ac:dyDescent="0.35">
      <c r="A17" s="17">
        <v>2.8</v>
      </c>
      <c r="B17" s="10" t="s">
        <v>29</v>
      </c>
      <c r="C17" s="10">
        <v>1995</v>
      </c>
      <c r="D17" s="10">
        <v>47</v>
      </c>
      <c r="E17" s="10">
        <v>66</v>
      </c>
      <c r="F17" s="10" t="s">
        <v>0</v>
      </c>
      <c r="G17" s="10" t="s">
        <v>0</v>
      </c>
      <c r="H17" s="10">
        <v>34</v>
      </c>
      <c r="I17" s="10" t="s">
        <v>0</v>
      </c>
      <c r="J17" s="11">
        <v>30</v>
      </c>
    </row>
    <row r="18" spans="1:10" x14ac:dyDescent="0.35">
      <c r="A18" s="17">
        <v>2.9</v>
      </c>
      <c r="B18" s="10" t="s">
        <v>29</v>
      </c>
      <c r="C18" s="10">
        <v>1996</v>
      </c>
      <c r="D18" s="10">
        <v>271</v>
      </c>
      <c r="E18" s="10">
        <v>41</v>
      </c>
      <c r="F18" s="10">
        <v>41</v>
      </c>
      <c r="G18" s="10">
        <v>18</v>
      </c>
      <c r="H18" s="10">
        <v>59</v>
      </c>
      <c r="I18" s="10" t="s">
        <v>0</v>
      </c>
      <c r="J18" s="11">
        <v>30</v>
      </c>
    </row>
    <row r="19" spans="1:10" x14ac:dyDescent="0.35">
      <c r="A19" s="17">
        <v>3</v>
      </c>
      <c r="B19" s="10" t="s">
        <v>31</v>
      </c>
      <c r="C19" s="10">
        <v>1993</v>
      </c>
      <c r="D19" s="10" t="s">
        <v>0</v>
      </c>
      <c r="E19" s="10">
        <v>31</v>
      </c>
      <c r="F19" s="10">
        <v>31</v>
      </c>
      <c r="G19" s="10">
        <v>38</v>
      </c>
      <c r="H19" s="10">
        <v>69</v>
      </c>
      <c r="I19" s="10">
        <v>4250</v>
      </c>
      <c r="J19" s="11">
        <v>2</v>
      </c>
    </row>
    <row r="20" spans="1:10" x14ac:dyDescent="0.35">
      <c r="A20" s="17">
        <v>3.1</v>
      </c>
      <c r="B20" s="10" t="s">
        <v>29</v>
      </c>
      <c r="C20" s="10">
        <v>1995</v>
      </c>
      <c r="D20" s="10">
        <v>28</v>
      </c>
      <c r="E20" s="10">
        <v>71</v>
      </c>
      <c r="F20" s="10" t="s">
        <v>0</v>
      </c>
      <c r="G20" s="10" t="s">
        <v>0</v>
      </c>
      <c r="H20" s="10">
        <v>29</v>
      </c>
      <c r="I20" s="10" t="s">
        <v>0</v>
      </c>
      <c r="J20" s="11">
        <v>30</v>
      </c>
    </row>
    <row r="21" spans="1:10" x14ac:dyDescent="0.35">
      <c r="A21" s="17">
        <v>3.1</v>
      </c>
      <c r="B21" s="10" t="s">
        <v>29</v>
      </c>
      <c r="C21" s="10">
        <v>1996</v>
      </c>
      <c r="D21" s="10">
        <v>29</v>
      </c>
      <c r="E21" s="10">
        <v>38</v>
      </c>
      <c r="F21" s="10" t="s">
        <v>0</v>
      </c>
      <c r="G21" s="10" t="s">
        <v>0</v>
      </c>
      <c r="H21" s="10">
        <v>62</v>
      </c>
      <c r="I21" s="10" t="s">
        <v>0</v>
      </c>
      <c r="J21" s="11">
        <v>30</v>
      </c>
    </row>
    <row r="22" spans="1:10" x14ac:dyDescent="0.35">
      <c r="A22" s="17">
        <v>3.2</v>
      </c>
      <c r="B22" s="10" t="s">
        <v>29</v>
      </c>
      <c r="C22" s="10">
        <v>1996</v>
      </c>
      <c r="D22" s="10">
        <v>202</v>
      </c>
      <c r="E22" s="10">
        <v>40</v>
      </c>
      <c r="F22" s="10">
        <v>39</v>
      </c>
      <c r="G22" s="10">
        <v>21</v>
      </c>
      <c r="H22" s="10">
        <v>60</v>
      </c>
      <c r="I22" s="10" t="s">
        <v>0</v>
      </c>
      <c r="J22" s="11">
        <v>30</v>
      </c>
    </row>
    <row r="23" spans="1:10" x14ac:dyDescent="0.35">
      <c r="A23" s="17">
        <v>3.3</v>
      </c>
      <c r="B23" s="10" t="s">
        <v>0</v>
      </c>
      <c r="C23" s="10">
        <v>1996</v>
      </c>
      <c r="D23" s="10" t="s">
        <v>0</v>
      </c>
      <c r="E23" s="10">
        <v>62</v>
      </c>
      <c r="F23" s="10" t="s">
        <v>0</v>
      </c>
      <c r="G23" s="10" t="s">
        <v>0</v>
      </c>
      <c r="H23" s="10">
        <v>38</v>
      </c>
      <c r="I23" s="10" t="s">
        <v>0</v>
      </c>
      <c r="J23" s="11">
        <v>21</v>
      </c>
    </row>
    <row r="24" spans="1:10" x14ac:dyDescent="0.35">
      <c r="A24" s="17">
        <v>4.2</v>
      </c>
      <c r="B24" s="10" t="s">
        <v>74</v>
      </c>
      <c r="C24" s="10">
        <v>1993</v>
      </c>
      <c r="D24" s="10" t="s">
        <v>0</v>
      </c>
      <c r="E24" s="10">
        <v>56</v>
      </c>
      <c r="F24" s="10">
        <v>25</v>
      </c>
      <c r="G24" s="10">
        <v>19</v>
      </c>
      <c r="H24" s="10">
        <v>44</v>
      </c>
      <c r="I24" s="10">
        <v>1632</v>
      </c>
      <c r="J24" s="11">
        <v>2</v>
      </c>
    </row>
    <row r="25" spans="1:10" x14ac:dyDescent="0.35">
      <c r="A25" s="17">
        <v>4.3</v>
      </c>
      <c r="B25" s="10" t="s">
        <v>29</v>
      </c>
      <c r="C25" s="10">
        <v>1994</v>
      </c>
      <c r="D25" s="10">
        <v>304</v>
      </c>
      <c r="E25" s="10">
        <v>62</v>
      </c>
      <c r="F25" s="10" t="s">
        <v>0</v>
      </c>
      <c r="G25" s="10" t="s">
        <v>0</v>
      </c>
      <c r="H25" s="10">
        <v>38</v>
      </c>
      <c r="I25" s="10" t="s">
        <v>0</v>
      </c>
      <c r="J25" s="11">
        <v>30</v>
      </c>
    </row>
    <row r="26" spans="1:10" ht="15" thickBot="1" x14ac:dyDescent="0.4">
      <c r="A26" s="7"/>
      <c r="B26" s="12"/>
      <c r="C26" s="8"/>
      <c r="D26" s="8"/>
      <c r="E26" s="12"/>
      <c r="F26" s="8"/>
      <c r="G26" s="8"/>
      <c r="H26" s="8"/>
      <c r="I26" s="12"/>
      <c r="J26" s="13"/>
    </row>
  </sheetData>
  <mergeCells count="16">
    <mergeCell ref="B7:J7"/>
    <mergeCell ref="A1:J2"/>
    <mergeCell ref="A3:J3"/>
    <mergeCell ref="A4:J4"/>
    <mergeCell ref="B5:J5"/>
    <mergeCell ref="B6:J6"/>
    <mergeCell ref="B8:J8"/>
    <mergeCell ref="B9:J9"/>
    <mergeCell ref="B10:J10"/>
    <mergeCell ref="B11:J11"/>
    <mergeCell ref="B13:B14"/>
    <mergeCell ref="C13:C14"/>
    <mergeCell ref="D13:D14"/>
    <mergeCell ref="E13:E14"/>
    <mergeCell ref="F13:H13"/>
    <mergeCell ref="I13:I14"/>
  </mergeCells>
  <pageMargins left="0.7" right="0.7" top="0.75" bottom="0.75" header="0.3" footer="0.3"/>
  <pageSetup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35318-CD2E-4138-B454-E5507B76D25E}">
  <sheetPr>
    <tabColor rgb="FFFFFF00"/>
  </sheetPr>
  <dimension ref="A1:J17"/>
  <sheetViews>
    <sheetView zoomScale="130" zoomScaleNormal="130" workbookViewId="0">
      <selection activeCell="B9" sqref="B9:J9"/>
    </sheetView>
  </sheetViews>
  <sheetFormatPr defaultColWidth="9.1796875" defaultRowHeight="14.5" x14ac:dyDescent="0.35"/>
  <cols>
    <col min="1" max="1" width="20.1796875" bestFit="1" customWidth="1"/>
    <col min="2" max="2" width="14.26953125" style="1" bestFit="1" customWidth="1"/>
    <col min="3" max="3" width="8.1796875" style="1" customWidth="1"/>
    <col min="4" max="4" width="10.54296875" style="1" customWidth="1"/>
    <col min="5" max="5" width="9.54296875" style="1" customWidth="1"/>
    <col min="6" max="6" width="12.1796875" style="1" customWidth="1"/>
    <col min="7" max="7" width="12.54296875" style="1" customWidth="1"/>
    <col min="8" max="8" width="8.81640625" style="1" bestFit="1" customWidth="1"/>
    <col min="9" max="9" width="14.1796875" style="1" customWidth="1"/>
    <col min="10" max="10" width="7" style="1" bestFit="1" customWidth="1"/>
  </cols>
  <sheetData>
    <row r="1" spans="1:10" x14ac:dyDescent="0.35">
      <c r="A1" s="66" t="s">
        <v>16</v>
      </c>
      <c r="B1" s="67"/>
      <c r="C1" s="67"/>
      <c r="D1" s="67"/>
      <c r="E1" s="67"/>
      <c r="F1" s="67"/>
      <c r="G1" s="67"/>
      <c r="H1" s="67"/>
      <c r="I1" s="67"/>
      <c r="J1" s="68"/>
    </row>
    <row r="2" spans="1:10" x14ac:dyDescent="0.35">
      <c r="A2" s="69"/>
      <c r="B2" s="70"/>
      <c r="C2" s="70"/>
      <c r="D2" s="70"/>
      <c r="E2" s="70"/>
      <c r="F2" s="70"/>
      <c r="G2" s="70"/>
      <c r="H2" s="70"/>
      <c r="I2" s="70"/>
      <c r="J2" s="71"/>
    </row>
    <row r="3" spans="1:10" x14ac:dyDescent="0.35">
      <c r="A3" s="72" t="s">
        <v>136</v>
      </c>
      <c r="B3" s="73"/>
      <c r="C3" s="73"/>
      <c r="D3" s="73"/>
      <c r="E3" s="73"/>
      <c r="F3" s="73"/>
      <c r="G3" s="73"/>
      <c r="H3" s="73"/>
      <c r="I3" s="73"/>
      <c r="J3" s="74"/>
    </row>
    <row r="4" spans="1:10" x14ac:dyDescent="0.35">
      <c r="A4" s="81"/>
      <c r="B4" s="76"/>
      <c r="C4" s="76"/>
      <c r="D4" s="76"/>
      <c r="E4" s="76"/>
      <c r="F4" s="76"/>
      <c r="G4" s="76"/>
      <c r="H4" s="76"/>
      <c r="I4" s="76"/>
      <c r="J4" s="77"/>
    </row>
    <row r="5" spans="1:10" x14ac:dyDescent="0.35">
      <c r="A5" s="2" t="s">
        <v>11</v>
      </c>
      <c r="B5" s="73">
        <v>935</v>
      </c>
      <c r="C5" s="73"/>
      <c r="D5" s="73"/>
      <c r="E5" s="73"/>
      <c r="F5" s="73"/>
      <c r="G5" s="73"/>
      <c r="H5" s="73"/>
      <c r="I5" s="73"/>
      <c r="J5" s="74"/>
    </row>
    <row r="6" spans="1:10" x14ac:dyDescent="0.35">
      <c r="A6" s="3" t="s">
        <v>12</v>
      </c>
      <c r="B6" s="73" t="s">
        <v>57</v>
      </c>
      <c r="C6" s="73"/>
      <c r="D6" s="73"/>
      <c r="E6" s="73"/>
      <c r="F6" s="73"/>
      <c r="G6" s="73"/>
      <c r="H6" s="73"/>
      <c r="I6" s="73"/>
      <c r="J6" s="74"/>
    </row>
    <row r="7" spans="1:10" x14ac:dyDescent="0.35">
      <c r="A7" s="3" t="s">
        <v>13</v>
      </c>
      <c r="B7" s="73" t="s">
        <v>14</v>
      </c>
      <c r="C7" s="73"/>
      <c r="D7" s="73"/>
      <c r="E7" s="73"/>
      <c r="F7" s="73"/>
      <c r="G7" s="73"/>
      <c r="H7" s="73"/>
      <c r="I7" s="73"/>
      <c r="J7" s="74"/>
    </row>
    <row r="8" spans="1:10" x14ac:dyDescent="0.35">
      <c r="A8" s="3" t="s">
        <v>1</v>
      </c>
      <c r="B8" s="73" t="s">
        <v>17</v>
      </c>
      <c r="C8" s="73"/>
      <c r="D8" s="73"/>
      <c r="E8" s="73"/>
      <c r="F8" s="73"/>
      <c r="G8" s="73"/>
      <c r="H8" s="73"/>
      <c r="I8" s="73"/>
      <c r="J8" s="74"/>
    </row>
    <row r="9" spans="1:10" x14ac:dyDescent="0.35">
      <c r="A9" s="3" t="s">
        <v>15</v>
      </c>
      <c r="B9" s="73">
        <v>2</v>
      </c>
      <c r="C9" s="73"/>
      <c r="D9" s="73"/>
      <c r="E9" s="73"/>
      <c r="F9" s="73"/>
      <c r="G9" s="73"/>
      <c r="H9" s="73"/>
      <c r="I9" s="73"/>
      <c r="J9" s="74"/>
    </row>
    <row r="10" spans="1:10" x14ac:dyDescent="0.35">
      <c r="A10" s="9" t="s">
        <v>18</v>
      </c>
      <c r="B10" s="88">
        <v>0.31</v>
      </c>
      <c r="C10" s="88"/>
      <c r="D10" s="88"/>
      <c r="E10" s="88"/>
      <c r="F10" s="88"/>
      <c r="G10" s="88"/>
      <c r="H10" s="88"/>
      <c r="I10" s="89"/>
      <c r="J10" s="90"/>
    </row>
    <row r="11" spans="1:10" x14ac:dyDescent="0.35">
      <c r="A11" s="4"/>
      <c r="B11" s="75" t="s">
        <v>21</v>
      </c>
      <c r="C11" s="76"/>
      <c r="D11" s="76"/>
      <c r="E11" s="76"/>
      <c r="F11" s="76"/>
      <c r="G11" s="76"/>
      <c r="H11" s="76"/>
      <c r="I11" s="76"/>
      <c r="J11" s="77"/>
    </row>
    <row r="12" spans="1:10" x14ac:dyDescent="0.35">
      <c r="A12" s="4"/>
      <c r="B12" s="14"/>
      <c r="C12" s="15"/>
      <c r="D12" s="15"/>
      <c r="F12" s="15"/>
      <c r="G12" s="15"/>
      <c r="H12" s="15"/>
      <c r="I12" s="18"/>
      <c r="J12" s="16"/>
    </row>
    <row r="13" spans="1:10" ht="15" customHeight="1" x14ac:dyDescent="0.35">
      <c r="A13" s="4"/>
      <c r="B13" s="91" t="s">
        <v>24</v>
      </c>
      <c r="C13" s="91" t="s">
        <v>19</v>
      </c>
      <c r="D13" s="91" t="s">
        <v>20</v>
      </c>
      <c r="E13" s="91" t="s">
        <v>2</v>
      </c>
      <c r="F13" s="76" t="s">
        <v>22</v>
      </c>
      <c r="G13" s="76"/>
      <c r="H13" s="76"/>
      <c r="I13" s="91" t="s">
        <v>70</v>
      </c>
      <c r="J13" s="16"/>
    </row>
    <row r="14" spans="1:10" x14ac:dyDescent="0.35">
      <c r="A14" s="17" t="s">
        <v>5</v>
      </c>
      <c r="B14" s="91"/>
      <c r="C14" s="91"/>
      <c r="D14" s="91"/>
      <c r="E14" s="91"/>
      <c r="F14" s="22" t="s">
        <v>25</v>
      </c>
      <c r="G14" s="5" t="s">
        <v>26</v>
      </c>
      <c r="H14" s="14" t="s">
        <v>23</v>
      </c>
      <c r="I14" s="91"/>
      <c r="J14" s="16" t="s">
        <v>3</v>
      </c>
    </row>
    <row r="15" spans="1:10" x14ac:dyDescent="0.35">
      <c r="A15" s="17">
        <v>1</v>
      </c>
      <c r="B15" s="10" t="s">
        <v>74</v>
      </c>
      <c r="C15" s="10">
        <v>1993</v>
      </c>
      <c r="D15" s="10" t="s">
        <v>0</v>
      </c>
      <c r="E15" s="10">
        <v>29</v>
      </c>
      <c r="F15" s="10">
        <v>36</v>
      </c>
      <c r="G15" s="10">
        <v>35</v>
      </c>
      <c r="H15" s="10">
        <v>71</v>
      </c>
      <c r="I15" s="10" t="s">
        <v>0</v>
      </c>
      <c r="J15" s="11">
        <v>34</v>
      </c>
    </row>
    <row r="16" spans="1:10" x14ac:dyDescent="0.35">
      <c r="A16" s="17">
        <v>1</v>
      </c>
      <c r="B16" s="10" t="s">
        <v>31</v>
      </c>
      <c r="C16" s="10">
        <v>1993</v>
      </c>
      <c r="D16" s="10" t="s">
        <v>0</v>
      </c>
      <c r="E16" s="10">
        <v>33</v>
      </c>
      <c r="F16" s="10">
        <v>50</v>
      </c>
      <c r="G16" s="10">
        <v>17</v>
      </c>
      <c r="H16" s="10">
        <v>67</v>
      </c>
      <c r="I16" s="10" t="s">
        <v>0</v>
      </c>
      <c r="J16" s="11">
        <v>34</v>
      </c>
    </row>
    <row r="17" spans="1:10" ht="15" thickBot="1" x14ac:dyDescent="0.4">
      <c r="A17" s="7"/>
      <c r="B17" s="12"/>
      <c r="C17" s="8"/>
      <c r="D17" s="8"/>
      <c r="E17" s="12"/>
      <c r="F17" s="8"/>
      <c r="G17" s="8"/>
      <c r="H17" s="8"/>
      <c r="I17" s="12"/>
      <c r="J17" s="13"/>
    </row>
  </sheetData>
  <mergeCells count="16">
    <mergeCell ref="B7:J7"/>
    <mergeCell ref="A1:J2"/>
    <mergeCell ref="A3:J3"/>
    <mergeCell ref="A4:J4"/>
    <mergeCell ref="B5:J5"/>
    <mergeCell ref="B6:J6"/>
    <mergeCell ref="B8:J8"/>
    <mergeCell ref="B9:J9"/>
    <mergeCell ref="B10:J10"/>
    <mergeCell ref="B11:J11"/>
    <mergeCell ref="B13:B14"/>
    <mergeCell ref="C13:C14"/>
    <mergeCell ref="D13:D14"/>
    <mergeCell ref="E13:E14"/>
    <mergeCell ref="F13:H13"/>
    <mergeCell ref="I13:I14"/>
  </mergeCells>
  <pageMargins left="0.7" right="0.7" top="0.75" bottom="0.75" header="0.3" footer="0.3"/>
  <pageSetup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23FB6-7BBD-4CB4-B83B-B5BAEAE71259}">
  <sheetPr>
    <tabColor rgb="FFFFFF00"/>
  </sheetPr>
  <dimension ref="A1:J19"/>
  <sheetViews>
    <sheetView zoomScale="130" zoomScaleNormal="130" workbookViewId="0">
      <selection activeCell="J15" sqref="J15:J19"/>
    </sheetView>
  </sheetViews>
  <sheetFormatPr defaultColWidth="9.1796875" defaultRowHeight="14.5" x14ac:dyDescent="0.35"/>
  <cols>
    <col min="1" max="1" width="20.1796875" bestFit="1" customWidth="1"/>
    <col min="2" max="2" width="14.26953125" style="1" bestFit="1" customWidth="1"/>
    <col min="3" max="3" width="8.1796875" style="1" customWidth="1"/>
    <col min="4" max="4" width="10.54296875" style="1" customWidth="1"/>
    <col min="5" max="5" width="9.54296875" style="1" customWidth="1"/>
    <col min="6" max="6" width="12.1796875" style="1" customWidth="1"/>
    <col min="7" max="7" width="12.54296875" style="1" customWidth="1"/>
    <col min="8" max="8" width="8.81640625" style="1" bestFit="1" customWidth="1"/>
    <col min="9" max="9" width="14.1796875" style="1" customWidth="1"/>
    <col min="10" max="10" width="7" style="1" bestFit="1" customWidth="1"/>
  </cols>
  <sheetData>
    <row r="1" spans="1:10" ht="15" customHeight="1" x14ac:dyDescent="0.35">
      <c r="A1" s="66" t="s">
        <v>16</v>
      </c>
      <c r="B1" s="67"/>
      <c r="C1" s="67"/>
      <c r="D1" s="67"/>
      <c r="E1" s="67"/>
      <c r="F1" s="67"/>
      <c r="G1" s="67"/>
      <c r="H1" s="67"/>
      <c r="I1" s="67"/>
      <c r="J1" s="68"/>
    </row>
    <row r="2" spans="1:10" ht="15" customHeight="1" x14ac:dyDescent="0.35">
      <c r="A2" s="78"/>
      <c r="B2" s="79"/>
      <c r="C2" s="79"/>
      <c r="D2" s="79"/>
      <c r="E2" s="79"/>
      <c r="F2" s="79"/>
      <c r="G2" s="79"/>
      <c r="H2" s="79"/>
      <c r="I2" s="79"/>
      <c r="J2" s="80"/>
    </row>
    <row r="3" spans="1:10" x14ac:dyDescent="0.35">
      <c r="A3" s="81" t="s">
        <v>136</v>
      </c>
      <c r="B3" s="76"/>
      <c r="C3" s="76"/>
      <c r="D3" s="76"/>
      <c r="E3" s="76"/>
      <c r="F3" s="76"/>
      <c r="G3" s="76"/>
      <c r="H3" s="76"/>
      <c r="I3" s="76"/>
      <c r="J3" s="77"/>
    </row>
    <row r="4" spans="1:10" x14ac:dyDescent="0.35">
      <c r="A4" s="81"/>
      <c r="B4" s="76"/>
      <c r="C4" s="76"/>
      <c r="D4" s="76"/>
      <c r="E4" s="76"/>
      <c r="F4" s="76"/>
      <c r="G4" s="76"/>
      <c r="H4" s="76"/>
      <c r="I4" s="76"/>
      <c r="J4" s="77"/>
    </row>
    <row r="5" spans="1:10" x14ac:dyDescent="0.35">
      <c r="A5" s="2" t="s">
        <v>11</v>
      </c>
      <c r="B5" s="75">
        <v>937</v>
      </c>
      <c r="C5" s="76"/>
      <c r="D5" s="76"/>
      <c r="E5" s="76"/>
      <c r="F5" s="76"/>
      <c r="G5" s="76"/>
      <c r="H5" s="76"/>
      <c r="I5" s="76"/>
      <c r="J5" s="77"/>
    </row>
    <row r="6" spans="1:10" x14ac:dyDescent="0.35">
      <c r="A6" s="3" t="s">
        <v>12</v>
      </c>
      <c r="B6" s="75" t="s">
        <v>137</v>
      </c>
      <c r="C6" s="76"/>
      <c r="D6" s="76"/>
      <c r="E6" s="76"/>
      <c r="F6" s="76"/>
      <c r="G6" s="76"/>
      <c r="H6" s="76"/>
      <c r="I6" s="76"/>
      <c r="J6" s="77"/>
    </row>
    <row r="7" spans="1:10" x14ac:dyDescent="0.35">
      <c r="A7" s="3" t="s">
        <v>13</v>
      </c>
      <c r="B7" s="75" t="s">
        <v>14</v>
      </c>
      <c r="C7" s="76"/>
      <c r="D7" s="76"/>
      <c r="E7" s="76"/>
      <c r="F7" s="76"/>
      <c r="G7" s="76"/>
      <c r="H7" s="76"/>
      <c r="I7" s="76"/>
      <c r="J7" s="77"/>
    </row>
    <row r="8" spans="1:10" x14ac:dyDescent="0.35">
      <c r="A8" s="3" t="s">
        <v>1</v>
      </c>
      <c r="B8" s="75" t="s">
        <v>141</v>
      </c>
      <c r="C8" s="76"/>
      <c r="D8" s="76"/>
      <c r="E8" s="76"/>
      <c r="F8" s="76"/>
      <c r="G8" s="76"/>
      <c r="H8" s="76"/>
      <c r="I8" s="76"/>
      <c r="J8" s="77"/>
    </row>
    <row r="9" spans="1:10" x14ac:dyDescent="0.35">
      <c r="A9" s="3" t="s">
        <v>15</v>
      </c>
      <c r="B9" s="75">
        <v>4</v>
      </c>
      <c r="C9" s="76"/>
      <c r="D9" s="76"/>
      <c r="E9" s="76"/>
      <c r="F9" s="76"/>
      <c r="G9" s="76"/>
      <c r="H9" s="76"/>
      <c r="I9" s="76"/>
      <c r="J9" s="77"/>
    </row>
    <row r="10" spans="1:10" x14ac:dyDescent="0.35">
      <c r="A10" s="9" t="s">
        <v>18</v>
      </c>
      <c r="B10" s="82">
        <f>AVERAGE(E15:E18)/100</f>
        <v>0.82</v>
      </c>
      <c r="C10" s="83"/>
      <c r="D10" s="83"/>
      <c r="E10" s="83"/>
      <c r="F10" s="83"/>
      <c r="G10" s="83"/>
      <c r="H10" s="83"/>
      <c r="I10" s="83"/>
      <c r="J10" s="84"/>
    </row>
    <row r="11" spans="1:10" x14ac:dyDescent="0.35">
      <c r="A11" s="4"/>
      <c r="B11" s="75" t="s">
        <v>21</v>
      </c>
      <c r="C11" s="76"/>
      <c r="D11" s="76"/>
      <c r="E11" s="76"/>
      <c r="F11" s="76"/>
      <c r="G11" s="76"/>
      <c r="H11" s="76"/>
      <c r="I11" s="76"/>
      <c r="J11" s="77"/>
    </row>
    <row r="12" spans="1:10" x14ac:dyDescent="0.35">
      <c r="A12" s="4"/>
      <c r="B12" s="14"/>
      <c r="C12" s="15"/>
      <c r="D12" s="15"/>
      <c r="F12" s="15"/>
      <c r="G12" s="15"/>
      <c r="H12" s="15"/>
      <c r="I12" s="18"/>
      <c r="J12" s="16"/>
    </row>
    <row r="13" spans="1:10" ht="15" customHeight="1" x14ac:dyDescent="0.35">
      <c r="A13" s="4"/>
      <c r="B13" s="85" t="s">
        <v>24</v>
      </c>
      <c r="C13" s="85" t="s">
        <v>19</v>
      </c>
      <c r="D13" s="85" t="s">
        <v>20</v>
      </c>
      <c r="E13" s="85" t="s">
        <v>2</v>
      </c>
      <c r="F13" s="75" t="s">
        <v>22</v>
      </c>
      <c r="G13" s="76"/>
      <c r="H13" s="87"/>
      <c r="I13" s="85" t="s">
        <v>70</v>
      </c>
      <c r="J13" s="16"/>
    </row>
    <row r="14" spans="1:10" x14ac:dyDescent="0.35">
      <c r="A14" s="17" t="s">
        <v>9</v>
      </c>
      <c r="B14" s="86"/>
      <c r="C14" s="86"/>
      <c r="D14" s="86"/>
      <c r="E14" s="86"/>
      <c r="F14" s="22" t="s">
        <v>25</v>
      </c>
      <c r="G14" s="5" t="s">
        <v>26</v>
      </c>
      <c r="H14" s="14" t="s">
        <v>23</v>
      </c>
      <c r="I14" s="86"/>
      <c r="J14" s="16" t="s">
        <v>3</v>
      </c>
    </row>
    <row r="15" spans="1:10" x14ac:dyDescent="0.35">
      <c r="A15" s="17">
        <v>2.5</v>
      </c>
      <c r="B15" s="10" t="s">
        <v>29</v>
      </c>
      <c r="C15" s="10">
        <v>2019</v>
      </c>
      <c r="D15" s="10">
        <v>510</v>
      </c>
      <c r="E15" s="33">
        <v>82</v>
      </c>
      <c r="F15" s="33">
        <f>100-E15</f>
        <v>18</v>
      </c>
      <c r="G15" s="10" t="s">
        <v>0</v>
      </c>
      <c r="H15" s="33">
        <v>18</v>
      </c>
      <c r="I15" s="10" t="s">
        <v>0</v>
      </c>
      <c r="J15" s="11">
        <v>18</v>
      </c>
    </row>
    <row r="16" spans="1:10" x14ac:dyDescent="0.35">
      <c r="A16" s="17">
        <v>2.2000000000000002</v>
      </c>
      <c r="B16" s="10" t="s">
        <v>29</v>
      </c>
      <c r="C16" s="10">
        <v>2019</v>
      </c>
      <c r="D16" s="10">
        <v>630</v>
      </c>
      <c r="E16" s="33">
        <v>81</v>
      </c>
      <c r="F16" s="33">
        <f t="shared" ref="F16:F18" si="0">100-E16</f>
        <v>19</v>
      </c>
      <c r="G16" s="10" t="s">
        <v>0</v>
      </c>
      <c r="H16" s="33">
        <v>19</v>
      </c>
      <c r="I16" s="10" t="s">
        <v>0</v>
      </c>
      <c r="J16" s="11">
        <v>18</v>
      </c>
    </row>
    <row r="17" spans="1:10" x14ac:dyDescent="0.35">
      <c r="A17" s="17">
        <v>2.5449999999999999</v>
      </c>
      <c r="B17" s="10" t="s">
        <v>29</v>
      </c>
      <c r="C17" s="10">
        <v>2019</v>
      </c>
      <c r="D17" s="10">
        <v>812</v>
      </c>
      <c r="E17" s="33">
        <v>78</v>
      </c>
      <c r="F17" s="33">
        <f t="shared" si="0"/>
        <v>22</v>
      </c>
      <c r="G17" s="10" t="s">
        <v>0</v>
      </c>
      <c r="H17" s="33">
        <v>22</v>
      </c>
      <c r="I17" s="10" t="s">
        <v>0</v>
      </c>
      <c r="J17" s="11">
        <v>18</v>
      </c>
    </row>
    <row r="18" spans="1:10" x14ac:dyDescent="0.35">
      <c r="A18" s="17">
        <v>1.8420000000000001</v>
      </c>
      <c r="B18" s="10" t="s">
        <v>29</v>
      </c>
      <c r="C18" s="10">
        <v>2019</v>
      </c>
      <c r="D18" s="10">
        <v>729</v>
      </c>
      <c r="E18" s="33">
        <v>87</v>
      </c>
      <c r="F18" s="33">
        <f t="shared" si="0"/>
        <v>13</v>
      </c>
      <c r="G18" s="10" t="s">
        <v>0</v>
      </c>
      <c r="H18" s="33">
        <v>13</v>
      </c>
      <c r="I18" s="10" t="s">
        <v>0</v>
      </c>
      <c r="J18" s="11">
        <v>18</v>
      </c>
    </row>
    <row r="19" spans="1:10" ht="15" thickBot="1" x14ac:dyDescent="0.4">
      <c r="A19" s="7"/>
      <c r="B19" s="12"/>
      <c r="C19" s="8"/>
      <c r="D19" s="8"/>
      <c r="E19" s="12"/>
      <c r="F19" s="8"/>
      <c r="G19" s="8"/>
      <c r="H19" s="8"/>
      <c r="I19" s="12"/>
      <c r="J19" s="13"/>
    </row>
  </sheetData>
  <mergeCells count="16">
    <mergeCell ref="B8:J8"/>
    <mergeCell ref="B9:J9"/>
    <mergeCell ref="B10:J10"/>
    <mergeCell ref="B11:J11"/>
    <mergeCell ref="B13:B14"/>
    <mergeCell ref="C13:C14"/>
    <mergeCell ref="D13:D14"/>
    <mergeCell ref="E13:E14"/>
    <mergeCell ref="F13:H13"/>
    <mergeCell ref="I13:I14"/>
    <mergeCell ref="B7:J7"/>
    <mergeCell ref="A1:J2"/>
    <mergeCell ref="A3:J3"/>
    <mergeCell ref="A4:J4"/>
    <mergeCell ref="B5:J5"/>
    <mergeCell ref="B6:J6"/>
  </mergeCells>
  <pageMargins left="0.7" right="0.7" top="0.75" bottom="0.75" header="0.3" footer="0.3"/>
  <pageSetup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68414-490B-4E6D-B7BD-BDD500AB8F50}">
  <sheetPr>
    <tabColor rgb="FFFFFF00"/>
  </sheetPr>
  <dimension ref="A1:J19"/>
  <sheetViews>
    <sheetView zoomScale="130" zoomScaleNormal="130" workbookViewId="0">
      <selection activeCell="J19" sqref="J19"/>
    </sheetView>
  </sheetViews>
  <sheetFormatPr defaultColWidth="9.1796875" defaultRowHeight="14.5" x14ac:dyDescent="0.35"/>
  <cols>
    <col min="1" max="1" width="20.1796875" bestFit="1" customWidth="1"/>
    <col min="2" max="2" width="14.26953125" style="1" bestFit="1" customWidth="1"/>
    <col min="3" max="3" width="8.1796875" style="1" customWidth="1"/>
    <col min="4" max="4" width="10.54296875" style="1" customWidth="1"/>
    <col min="5" max="5" width="9.54296875" style="1" customWidth="1"/>
    <col min="6" max="6" width="12.1796875" style="1" customWidth="1"/>
    <col min="7" max="7" width="12.54296875" style="1" customWidth="1"/>
    <col min="8" max="8" width="8.81640625" style="1" bestFit="1" customWidth="1"/>
    <col min="9" max="9" width="14.1796875" style="1" customWidth="1"/>
    <col min="10" max="10" width="7" style="1" bestFit="1" customWidth="1"/>
  </cols>
  <sheetData>
    <row r="1" spans="1:10" ht="15" customHeight="1" x14ac:dyDescent="0.35">
      <c r="A1" s="66" t="s">
        <v>16</v>
      </c>
      <c r="B1" s="67"/>
      <c r="C1" s="67"/>
      <c r="D1" s="67"/>
      <c r="E1" s="67"/>
      <c r="F1" s="67"/>
      <c r="G1" s="67"/>
      <c r="H1" s="67"/>
      <c r="I1" s="67"/>
      <c r="J1" s="68"/>
    </row>
    <row r="2" spans="1:10" ht="15" customHeight="1" x14ac:dyDescent="0.35">
      <c r="A2" s="78"/>
      <c r="B2" s="79"/>
      <c r="C2" s="79"/>
      <c r="D2" s="79"/>
      <c r="E2" s="79"/>
      <c r="F2" s="79"/>
      <c r="G2" s="79"/>
      <c r="H2" s="79"/>
      <c r="I2" s="79"/>
      <c r="J2" s="80"/>
    </row>
    <row r="3" spans="1:10" x14ac:dyDescent="0.35">
      <c r="A3" s="81" t="s">
        <v>136</v>
      </c>
      <c r="B3" s="76"/>
      <c r="C3" s="76"/>
      <c r="D3" s="76"/>
      <c r="E3" s="76"/>
      <c r="F3" s="76"/>
      <c r="G3" s="76"/>
      <c r="H3" s="76"/>
      <c r="I3" s="76"/>
      <c r="J3" s="77"/>
    </row>
    <row r="4" spans="1:10" x14ac:dyDescent="0.35">
      <c r="A4" s="81"/>
      <c r="B4" s="76"/>
      <c r="C4" s="76"/>
      <c r="D4" s="76"/>
      <c r="E4" s="76"/>
      <c r="F4" s="76"/>
      <c r="G4" s="76"/>
      <c r="H4" s="76"/>
      <c r="I4" s="76"/>
      <c r="J4" s="77"/>
    </row>
    <row r="5" spans="1:10" x14ac:dyDescent="0.35">
      <c r="A5" s="2" t="s">
        <v>11</v>
      </c>
      <c r="B5" s="75">
        <v>937</v>
      </c>
      <c r="C5" s="76"/>
      <c r="D5" s="76"/>
      <c r="E5" s="76"/>
      <c r="F5" s="76"/>
      <c r="G5" s="76"/>
      <c r="H5" s="76"/>
      <c r="I5" s="76"/>
      <c r="J5" s="77"/>
    </row>
    <row r="6" spans="1:10" x14ac:dyDescent="0.35">
      <c r="A6" s="3" t="s">
        <v>12</v>
      </c>
      <c r="B6" s="75" t="s">
        <v>137</v>
      </c>
      <c r="C6" s="76"/>
      <c r="D6" s="76"/>
      <c r="E6" s="76"/>
      <c r="F6" s="76"/>
      <c r="G6" s="76"/>
      <c r="H6" s="76"/>
      <c r="I6" s="76"/>
      <c r="J6" s="77"/>
    </row>
    <row r="7" spans="1:10" x14ac:dyDescent="0.35">
      <c r="A7" s="3" t="s">
        <v>13</v>
      </c>
      <c r="B7" s="75" t="s">
        <v>14</v>
      </c>
      <c r="C7" s="76"/>
      <c r="D7" s="76"/>
      <c r="E7" s="76"/>
      <c r="F7" s="76"/>
      <c r="G7" s="76"/>
      <c r="H7" s="76"/>
      <c r="I7" s="76"/>
      <c r="J7" s="77"/>
    </row>
    <row r="8" spans="1:10" x14ac:dyDescent="0.35">
      <c r="A8" s="3" t="s">
        <v>1</v>
      </c>
      <c r="B8" s="75" t="s">
        <v>141</v>
      </c>
      <c r="C8" s="76"/>
      <c r="D8" s="76"/>
      <c r="E8" s="76"/>
      <c r="F8" s="76"/>
      <c r="G8" s="76"/>
      <c r="H8" s="76"/>
      <c r="I8" s="76"/>
      <c r="J8" s="77"/>
    </row>
    <row r="9" spans="1:10" x14ac:dyDescent="0.35">
      <c r="A9" s="3" t="s">
        <v>15</v>
      </c>
      <c r="B9" s="75">
        <v>4</v>
      </c>
      <c r="C9" s="76"/>
      <c r="D9" s="76"/>
      <c r="E9" s="76"/>
      <c r="F9" s="76"/>
      <c r="G9" s="76"/>
      <c r="H9" s="76"/>
      <c r="I9" s="76"/>
      <c r="J9" s="77"/>
    </row>
    <row r="10" spans="1:10" x14ac:dyDescent="0.35">
      <c r="A10" s="9" t="s">
        <v>18</v>
      </c>
      <c r="B10" s="82">
        <f>AVERAGE(E15:E18)/100</f>
        <v>0.82</v>
      </c>
      <c r="C10" s="83"/>
      <c r="D10" s="83"/>
      <c r="E10" s="83"/>
      <c r="F10" s="83"/>
      <c r="G10" s="83"/>
      <c r="H10" s="83"/>
      <c r="I10" s="83"/>
      <c r="J10" s="84"/>
    </row>
    <row r="11" spans="1:10" x14ac:dyDescent="0.35">
      <c r="A11" s="4"/>
      <c r="B11" s="75" t="s">
        <v>21</v>
      </c>
      <c r="C11" s="76"/>
      <c r="D11" s="76"/>
      <c r="E11" s="76"/>
      <c r="F11" s="76"/>
      <c r="G11" s="76"/>
      <c r="H11" s="76"/>
      <c r="I11" s="76"/>
      <c r="J11" s="77"/>
    </row>
    <row r="12" spans="1:10" x14ac:dyDescent="0.35">
      <c r="A12" s="4"/>
      <c r="B12" s="14"/>
      <c r="C12" s="15"/>
      <c r="D12" s="15"/>
      <c r="F12" s="15"/>
      <c r="G12" s="15"/>
      <c r="H12" s="15"/>
      <c r="I12" s="18"/>
      <c r="J12" s="16"/>
    </row>
    <row r="13" spans="1:10" ht="15" customHeight="1" x14ac:dyDescent="0.35">
      <c r="A13" s="4"/>
      <c r="B13" s="85" t="s">
        <v>24</v>
      </c>
      <c r="C13" s="85" t="s">
        <v>19</v>
      </c>
      <c r="D13" s="85" t="s">
        <v>20</v>
      </c>
      <c r="E13" s="85" t="s">
        <v>2</v>
      </c>
      <c r="F13" s="75" t="s">
        <v>22</v>
      </c>
      <c r="G13" s="76"/>
      <c r="H13" s="87"/>
      <c r="I13" s="85" t="s">
        <v>70</v>
      </c>
      <c r="J13" s="16"/>
    </row>
    <row r="14" spans="1:10" x14ac:dyDescent="0.35">
      <c r="A14" s="17" t="s">
        <v>5</v>
      </c>
      <c r="B14" s="86"/>
      <c r="C14" s="86"/>
      <c r="D14" s="86"/>
      <c r="E14" s="86"/>
      <c r="F14" s="22" t="s">
        <v>25</v>
      </c>
      <c r="G14" s="5" t="s">
        <v>26</v>
      </c>
      <c r="H14" s="14" t="s">
        <v>23</v>
      </c>
      <c r="I14" s="86"/>
      <c r="J14" s="16" t="s">
        <v>3</v>
      </c>
    </row>
    <row r="15" spans="1:10" x14ac:dyDescent="0.35">
      <c r="A15" s="17">
        <v>1</v>
      </c>
      <c r="B15" s="10" t="s">
        <v>29</v>
      </c>
      <c r="C15" s="10">
        <v>2019</v>
      </c>
      <c r="D15" s="10">
        <v>510</v>
      </c>
      <c r="E15" s="33">
        <v>82</v>
      </c>
      <c r="F15" s="33">
        <f>100-E15</f>
        <v>18</v>
      </c>
      <c r="G15" s="10" t="s">
        <v>0</v>
      </c>
      <c r="H15" s="33">
        <v>18</v>
      </c>
      <c r="I15" s="10" t="s">
        <v>0</v>
      </c>
      <c r="J15" s="11">
        <v>18</v>
      </c>
    </row>
    <row r="16" spans="1:10" x14ac:dyDescent="0.35">
      <c r="A16" s="17">
        <v>1</v>
      </c>
      <c r="B16" s="10" t="s">
        <v>29</v>
      </c>
      <c r="C16" s="10">
        <v>2019</v>
      </c>
      <c r="D16" s="10">
        <v>630</v>
      </c>
      <c r="E16" s="33">
        <v>81</v>
      </c>
      <c r="F16" s="33">
        <f t="shared" ref="F16:F18" si="0">100-E16</f>
        <v>19</v>
      </c>
      <c r="G16" s="10" t="s">
        <v>0</v>
      </c>
      <c r="H16" s="33">
        <v>19</v>
      </c>
      <c r="I16" s="10" t="s">
        <v>0</v>
      </c>
      <c r="J16" s="11">
        <v>18</v>
      </c>
    </row>
    <row r="17" spans="1:10" x14ac:dyDescent="0.35">
      <c r="A17" s="17">
        <v>1</v>
      </c>
      <c r="B17" s="10" t="s">
        <v>29</v>
      </c>
      <c r="C17" s="10">
        <v>2019</v>
      </c>
      <c r="D17" s="10">
        <v>812</v>
      </c>
      <c r="E17" s="33">
        <v>78</v>
      </c>
      <c r="F17" s="33">
        <f t="shared" si="0"/>
        <v>22</v>
      </c>
      <c r="G17" s="10" t="s">
        <v>0</v>
      </c>
      <c r="H17" s="33">
        <v>22</v>
      </c>
      <c r="I17" s="10" t="s">
        <v>0</v>
      </c>
      <c r="J17" s="11">
        <v>18</v>
      </c>
    </row>
    <row r="18" spans="1:10" x14ac:dyDescent="0.35">
      <c r="A18" s="17">
        <v>1</v>
      </c>
      <c r="B18" s="10" t="s">
        <v>29</v>
      </c>
      <c r="C18" s="10">
        <v>2019</v>
      </c>
      <c r="D18" s="10">
        <v>729</v>
      </c>
      <c r="E18" s="33">
        <v>87</v>
      </c>
      <c r="F18" s="33">
        <f t="shared" si="0"/>
        <v>13</v>
      </c>
      <c r="G18" s="10" t="s">
        <v>0</v>
      </c>
      <c r="H18" s="33">
        <v>13</v>
      </c>
      <c r="I18" s="10" t="s">
        <v>0</v>
      </c>
      <c r="J18" s="11">
        <v>18</v>
      </c>
    </row>
    <row r="19" spans="1:10" ht="15" thickBot="1" x14ac:dyDescent="0.4">
      <c r="A19" s="7"/>
      <c r="B19" s="12"/>
      <c r="C19" s="8"/>
      <c r="D19" s="8"/>
      <c r="E19" s="12"/>
      <c r="F19" s="8"/>
      <c r="G19" s="8"/>
      <c r="H19" s="8"/>
      <c r="I19" s="12"/>
      <c r="J19" s="13"/>
    </row>
  </sheetData>
  <mergeCells count="16">
    <mergeCell ref="B8:J8"/>
    <mergeCell ref="B9:J9"/>
    <mergeCell ref="B10:J10"/>
    <mergeCell ref="B11:J11"/>
    <mergeCell ref="B13:B14"/>
    <mergeCell ref="C13:C14"/>
    <mergeCell ref="D13:D14"/>
    <mergeCell ref="E13:E14"/>
    <mergeCell ref="F13:H13"/>
    <mergeCell ref="I13:I14"/>
    <mergeCell ref="B7:J7"/>
    <mergeCell ref="A1:J2"/>
    <mergeCell ref="A3:J3"/>
    <mergeCell ref="A4:J4"/>
    <mergeCell ref="B5:J5"/>
    <mergeCell ref="B6:J6"/>
  </mergeCells>
  <pageMargins left="0.7" right="0.7" top="0.75" bottom="0.75" header="0.3" footer="0.3"/>
  <pageSetup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EB3EE-E011-4C6D-B18C-2986808F4276}">
  <sheetPr>
    <tabColor rgb="FFFFFF00"/>
  </sheetPr>
  <dimension ref="A1:J20"/>
  <sheetViews>
    <sheetView zoomScale="130" zoomScaleNormal="130" workbookViewId="0">
      <selection activeCell="B9" sqref="B9:J9"/>
    </sheetView>
  </sheetViews>
  <sheetFormatPr defaultColWidth="9.1796875" defaultRowHeight="14.5" x14ac:dyDescent="0.35"/>
  <cols>
    <col min="1" max="1" width="20.1796875" style="38" bestFit="1" customWidth="1"/>
    <col min="2" max="2" width="14.26953125" style="46" bestFit="1" customWidth="1"/>
    <col min="3" max="3" width="8.1796875" style="46" customWidth="1"/>
    <col min="4" max="4" width="10.54296875" style="46" customWidth="1"/>
    <col min="5" max="5" width="9.54296875" style="46" customWidth="1"/>
    <col min="6" max="6" width="12.1796875" style="46" customWidth="1"/>
    <col min="7" max="7" width="12.54296875" style="46" customWidth="1"/>
    <col min="8" max="8" width="8.81640625" style="46" bestFit="1" customWidth="1"/>
    <col min="9" max="9" width="14.1796875" style="46" customWidth="1"/>
    <col min="10" max="10" width="7" style="46" bestFit="1" customWidth="1"/>
    <col min="11" max="16384" width="9.1796875" style="38"/>
  </cols>
  <sheetData>
    <row r="1" spans="1:10" ht="15" customHeight="1" x14ac:dyDescent="0.35">
      <c r="A1" s="96" t="s">
        <v>16</v>
      </c>
      <c r="B1" s="97"/>
      <c r="C1" s="97"/>
      <c r="D1" s="97"/>
      <c r="E1" s="97"/>
      <c r="F1" s="97"/>
      <c r="G1" s="97"/>
      <c r="H1" s="97"/>
      <c r="I1" s="97"/>
      <c r="J1" s="98"/>
    </row>
    <row r="2" spans="1:10" ht="15" customHeight="1" x14ac:dyDescent="0.35">
      <c r="A2" s="99"/>
      <c r="B2" s="100"/>
      <c r="C2" s="100"/>
      <c r="D2" s="100"/>
      <c r="E2" s="100"/>
      <c r="F2" s="100"/>
      <c r="G2" s="100"/>
      <c r="H2" s="100"/>
      <c r="I2" s="100"/>
      <c r="J2" s="101"/>
    </row>
    <row r="3" spans="1:10" x14ac:dyDescent="0.35">
      <c r="A3" s="102" t="s">
        <v>136</v>
      </c>
      <c r="B3" s="94"/>
      <c r="C3" s="94"/>
      <c r="D3" s="94"/>
      <c r="E3" s="94"/>
      <c r="F3" s="94"/>
      <c r="G3" s="94"/>
      <c r="H3" s="94"/>
      <c r="I3" s="94"/>
      <c r="J3" s="95"/>
    </row>
    <row r="4" spans="1:10" x14ac:dyDescent="0.35">
      <c r="A4" s="102"/>
      <c r="B4" s="94"/>
      <c r="C4" s="94"/>
      <c r="D4" s="94"/>
      <c r="E4" s="94"/>
      <c r="F4" s="94"/>
      <c r="G4" s="94"/>
      <c r="H4" s="94"/>
      <c r="I4" s="94"/>
      <c r="J4" s="95"/>
    </row>
    <row r="5" spans="1:10" x14ac:dyDescent="0.35">
      <c r="A5" s="41" t="s">
        <v>11</v>
      </c>
      <c r="B5" s="93">
        <v>937</v>
      </c>
      <c r="C5" s="94"/>
      <c r="D5" s="94"/>
      <c r="E5" s="94"/>
      <c r="F5" s="94"/>
      <c r="G5" s="94"/>
      <c r="H5" s="94"/>
      <c r="I5" s="94"/>
      <c r="J5" s="95"/>
    </row>
    <row r="6" spans="1:10" x14ac:dyDescent="0.35">
      <c r="A6" s="42" t="s">
        <v>12</v>
      </c>
      <c r="B6" s="93" t="s">
        <v>137</v>
      </c>
      <c r="C6" s="94"/>
      <c r="D6" s="94"/>
      <c r="E6" s="94"/>
      <c r="F6" s="94"/>
      <c r="G6" s="94"/>
      <c r="H6" s="94"/>
      <c r="I6" s="94"/>
      <c r="J6" s="95"/>
    </row>
    <row r="7" spans="1:10" x14ac:dyDescent="0.35">
      <c r="A7" s="42" t="s">
        <v>13</v>
      </c>
      <c r="B7" s="93" t="s">
        <v>14</v>
      </c>
      <c r="C7" s="94"/>
      <c r="D7" s="94"/>
      <c r="E7" s="94"/>
      <c r="F7" s="94"/>
      <c r="G7" s="94"/>
      <c r="H7" s="94"/>
      <c r="I7" s="94"/>
      <c r="J7" s="95"/>
    </row>
    <row r="8" spans="1:10" x14ac:dyDescent="0.35">
      <c r="A8" s="42" t="s">
        <v>1</v>
      </c>
      <c r="B8" s="93" t="s">
        <v>53</v>
      </c>
      <c r="C8" s="94"/>
      <c r="D8" s="94"/>
      <c r="E8" s="94"/>
      <c r="F8" s="94"/>
      <c r="G8" s="94"/>
      <c r="H8" s="94"/>
      <c r="I8" s="94"/>
      <c r="J8" s="95"/>
    </row>
    <row r="9" spans="1:10" x14ac:dyDescent="0.35">
      <c r="A9" s="42" t="s">
        <v>15</v>
      </c>
      <c r="B9" s="93">
        <v>5</v>
      </c>
      <c r="C9" s="94"/>
      <c r="D9" s="94"/>
      <c r="E9" s="94"/>
      <c r="F9" s="94"/>
      <c r="G9" s="94"/>
      <c r="H9" s="94"/>
      <c r="I9" s="94"/>
      <c r="J9" s="95"/>
    </row>
    <row r="10" spans="1:10" x14ac:dyDescent="0.35">
      <c r="A10" s="43" t="s">
        <v>18</v>
      </c>
      <c r="B10" s="103">
        <v>0.82877509857716436</v>
      </c>
      <c r="C10" s="104"/>
      <c r="D10" s="104"/>
      <c r="E10" s="104"/>
      <c r="F10" s="104"/>
      <c r="G10" s="104"/>
      <c r="H10" s="104"/>
      <c r="I10" s="104"/>
      <c r="J10" s="105"/>
    </row>
    <row r="11" spans="1:10" x14ac:dyDescent="0.35">
      <c r="A11" s="44"/>
      <c r="B11" s="93" t="s">
        <v>21</v>
      </c>
      <c r="C11" s="94"/>
      <c r="D11" s="94"/>
      <c r="E11" s="94"/>
      <c r="F11" s="94"/>
      <c r="G11" s="94"/>
      <c r="H11" s="94"/>
      <c r="I11" s="94"/>
      <c r="J11" s="95"/>
    </row>
    <row r="12" spans="1:10" x14ac:dyDescent="0.35">
      <c r="A12" s="44"/>
      <c r="B12" s="45"/>
      <c r="C12" s="39"/>
      <c r="D12" s="39"/>
      <c r="F12" s="39"/>
      <c r="G12" s="39"/>
      <c r="H12" s="39"/>
      <c r="I12" s="47"/>
      <c r="J12" s="40"/>
    </row>
    <row r="13" spans="1:10" ht="15" customHeight="1" x14ac:dyDescent="0.35">
      <c r="A13" s="44"/>
      <c r="B13" s="106" t="s">
        <v>24</v>
      </c>
      <c r="C13" s="106" t="s">
        <v>19</v>
      </c>
      <c r="D13" s="106" t="s">
        <v>20</v>
      </c>
      <c r="E13" s="106" t="s">
        <v>2</v>
      </c>
      <c r="F13" s="93" t="s">
        <v>22</v>
      </c>
      <c r="G13" s="94"/>
      <c r="H13" s="108"/>
      <c r="I13" s="106" t="s">
        <v>70</v>
      </c>
      <c r="J13" s="40"/>
    </row>
    <row r="14" spans="1:10" x14ac:dyDescent="0.35">
      <c r="A14" s="48" t="s">
        <v>5</v>
      </c>
      <c r="B14" s="107"/>
      <c r="C14" s="107"/>
      <c r="D14" s="107"/>
      <c r="E14" s="107"/>
      <c r="F14" s="49" t="s">
        <v>25</v>
      </c>
      <c r="G14" s="50" t="s">
        <v>26</v>
      </c>
      <c r="H14" s="45" t="s">
        <v>23</v>
      </c>
      <c r="I14" s="107"/>
      <c r="J14" s="40" t="s">
        <v>3</v>
      </c>
    </row>
    <row r="15" spans="1:10" x14ac:dyDescent="0.35">
      <c r="A15" s="48">
        <v>1</v>
      </c>
      <c r="B15" s="57" t="s">
        <v>29</v>
      </c>
      <c r="C15" s="57">
        <v>2019</v>
      </c>
      <c r="D15" s="57">
        <v>257</v>
      </c>
      <c r="E15" s="58">
        <v>82.10116731517509</v>
      </c>
      <c r="F15" s="58">
        <v>17.898832684824903</v>
      </c>
      <c r="G15" s="57" t="s">
        <v>0</v>
      </c>
      <c r="H15" s="58">
        <v>17.898832684824903</v>
      </c>
      <c r="I15" s="57" t="s">
        <v>0</v>
      </c>
      <c r="J15" s="63">
        <v>18</v>
      </c>
    </row>
    <row r="16" spans="1:10" x14ac:dyDescent="0.35">
      <c r="A16" s="48">
        <v>1</v>
      </c>
      <c r="B16" s="57" t="s">
        <v>29</v>
      </c>
      <c r="C16" s="57">
        <v>2019</v>
      </c>
      <c r="D16" s="57">
        <v>323</v>
      </c>
      <c r="E16" s="58">
        <v>85.448916408668723</v>
      </c>
      <c r="F16" s="58">
        <v>14.551083591331269</v>
      </c>
      <c r="G16" s="57" t="s">
        <v>0</v>
      </c>
      <c r="H16" s="58">
        <v>14.551083591331269</v>
      </c>
      <c r="I16" s="57" t="s">
        <v>0</v>
      </c>
      <c r="J16" s="63">
        <v>18</v>
      </c>
    </row>
    <row r="17" spans="1:10" x14ac:dyDescent="0.35">
      <c r="A17" s="48">
        <v>1</v>
      </c>
      <c r="B17" s="57" t="s">
        <v>29</v>
      </c>
      <c r="C17" s="57">
        <v>2019</v>
      </c>
      <c r="D17" s="57">
        <v>363</v>
      </c>
      <c r="E17" s="58">
        <v>92.837465564738295</v>
      </c>
      <c r="F17" s="58">
        <v>7.1625344352617084</v>
      </c>
      <c r="G17" s="57" t="s">
        <v>0</v>
      </c>
      <c r="H17" s="58">
        <v>7.1625344352617084</v>
      </c>
      <c r="I17" s="57" t="s">
        <v>0</v>
      </c>
      <c r="J17" s="63">
        <v>18</v>
      </c>
    </row>
    <row r="18" spans="1:10" x14ac:dyDescent="0.35">
      <c r="A18" s="59">
        <v>1</v>
      </c>
      <c r="B18" s="62" t="s">
        <v>71</v>
      </c>
      <c r="C18" s="60">
        <v>2023</v>
      </c>
      <c r="D18" s="57" t="s">
        <v>0</v>
      </c>
      <c r="E18" s="61">
        <v>79</v>
      </c>
      <c r="F18" s="61">
        <v>21</v>
      </c>
      <c r="G18" s="57" t="s">
        <v>0</v>
      </c>
      <c r="H18" s="58">
        <v>21</v>
      </c>
      <c r="I18" s="57" t="s">
        <v>0</v>
      </c>
      <c r="J18" s="64">
        <v>18</v>
      </c>
    </row>
    <row r="19" spans="1:10" x14ac:dyDescent="0.35">
      <c r="A19" s="59">
        <v>1</v>
      </c>
      <c r="B19" s="62" t="s">
        <v>71</v>
      </c>
      <c r="C19" s="60">
        <v>2023</v>
      </c>
      <c r="D19" s="57" t="s">
        <v>0</v>
      </c>
      <c r="E19" s="61">
        <v>75</v>
      </c>
      <c r="F19" s="61">
        <v>25</v>
      </c>
      <c r="G19" s="57" t="s">
        <v>0</v>
      </c>
      <c r="H19" s="58">
        <v>25</v>
      </c>
      <c r="I19" s="57" t="s">
        <v>0</v>
      </c>
      <c r="J19" s="64">
        <v>18</v>
      </c>
    </row>
    <row r="20" spans="1:10" ht="15" thickBot="1" x14ac:dyDescent="0.4">
      <c r="A20" s="53"/>
      <c r="B20" s="54"/>
      <c r="C20" s="55"/>
      <c r="D20" s="55"/>
      <c r="E20" s="54"/>
      <c r="F20" s="55"/>
      <c r="G20" s="55"/>
      <c r="H20" s="55"/>
      <c r="I20" s="54"/>
      <c r="J20" s="56"/>
    </row>
  </sheetData>
  <mergeCells count="16">
    <mergeCell ref="B8:J8"/>
    <mergeCell ref="B9:J9"/>
    <mergeCell ref="B10:J10"/>
    <mergeCell ref="B11:J11"/>
    <mergeCell ref="B13:B14"/>
    <mergeCell ref="C13:C14"/>
    <mergeCell ref="D13:D14"/>
    <mergeCell ref="E13:E14"/>
    <mergeCell ref="F13:H13"/>
    <mergeCell ref="I13:I14"/>
    <mergeCell ref="B7:J7"/>
    <mergeCell ref="A1:J2"/>
    <mergeCell ref="A3:J3"/>
    <mergeCell ref="A4:J4"/>
    <mergeCell ref="B5:J5"/>
    <mergeCell ref="B6:J6"/>
  </mergeCells>
  <pageMargins left="0.7" right="0.7" top="0.75" bottom="0.75" header="0.3" footer="0.3"/>
  <pageSetup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F9564-A4CB-4671-B01E-97AD00070D96}">
  <sheetPr>
    <tabColor rgb="FFFFFF00"/>
  </sheetPr>
  <dimension ref="A1:J18"/>
  <sheetViews>
    <sheetView zoomScale="130" zoomScaleNormal="130" workbookViewId="0">
      <selection activeCell="J18" sqref="J18"/>
    </sheetView>
  </sheetViews>
  <sheetFormatPr defaultColWidth="9.1796875" defaultRowHeight="14.5" x14ac:dyDescent="0.35"/>
  <cols>
    <col min="1" max="1" width="20.1796875" style="38" bestFit="1" customWidth="1"/>
    <col min="2" max="2" width="14.26953125" style="46" bestFit="1" customWidth="1"/>
    <col min="3" max="3" width="8.1796875" style="46" customWidth="1"/>
    <col min="4" max="4" width="10.54296875" style="46" customWidth="1"/>
    <col min="5" max="5" width="9.54296875" style="46" customWidth="1"/>
    <col min="6" max="6" width="12.1796875" style="46" customWidth="1"/>
    <col min="7" max="7" width="12.54296875" style="46" customWidth="1"/>
    <col min="8" max="8" width="8.81640625" style="46" bestFit="1" customWidth="1"/>
    <col min="9" max="9" width="14.1796875" style="46" customWidth="1"/>
    <col min="10" max="10" width="7" style="46" bestFit="1" customWidth="1"/>
    <col min="11" max="16384" width="9.1796875" style="38"/>
  </cols>
  <sheetData>
    <row r="1" spans="1:10" ht="15" customHeight="1" x14ac:dyDescent="0.35">
      <c r="A1" s="96" t="s">
        <v>16</v>
      </c>
      <c r="B1" s="97"/>
      <c r="C1" s="97"/>
      <c r="D1" s="97"/>
      <c r="E1" s="97"/>
      <c r="F1" s="97"/>
      <c r="G1" s="97"/>
      <c r="H1" s="97"/>
      <c r="I1" s="97"/>
      <c r="J1" s="98"/>
    </row>
    <row r="2" spans="1:10" ht="15" customHeight="1" x14ac:dyDescent="0.35">
      <c r="A2" s="99"/>
      <c r="B2" s="100"/>
      <c r="C2" s="100"/>
      <c r="D2" s="100"/>
      <c r="E2" s="100"/>
      <c r="F2" s="100"/>
      <c r="G2" s="100"/>
      <c r="H2" s="100"/>
      <c r="I2" s="100"/>
      <c r="J2" s="101"/>
    </row>
    <row r="3" spans="1:10" x14ac:dyDescent="0.35">
      <c r="A3" s="102" t="s">
        <v>136</v>
      </c>
      <c r="B3" s="94"/>
      <c r="C3" s="94"/>
      <c r="D3" s="94"/>
      <c r="E3" s="94"/>
      <c r="F3" s="94"/>
      <c r="G3" s="94"/>
      <c r="H3" s="94"/>
      <c r="I3" s="94"/>
      <c r="J3" s="95"/>
    </row>
    <row r="4" spans="1:10" x14ac:dyDescent="0.35">
      <c r="A4" s="102"/>
      <c r="B4" s="94"/>
      <c r="C4" s="94"/>
      <c r="D4" s="94"/>
      <c r="E4" s="94"/>
      <c r="F4" s="94"/>
      <c r="G4" s="94"/>
      <c r="H4" s="94"/>
      <c r="I4" s="94"/>
      <c r="J4" s="95"/>
    </row>
    <row r="5" spans="1:10" x14ac:dyDescent="0.35">
      <c r="A5" s="41" t="s">
        <v>11</v>
      </c>
      <c r="B5" s="93">
        <v>937</v>
      </c>
      <c r="C5" s="94"/>
      <c r="D5" s="94"/>
      <c r="E5" s="94"/>
      <c r="F5" s="94"/>
      <c r="G5" s="94"/>
      <c r="H5" s="94"/>
      <c r="I5" s="94"/>
      <c r="J5" s="95"/>
    </row>
    <row r="6" spans="1:10" x14ac:dyDescent="0.35">
      <c r="A6" s="42" t="s">
        <v>12</v>
      </c>
      <c r="B6" s="93" t="s">
        <v>137</v>
      </c>
      <c r="C6" s="94"/>
      <c r="D6" s="94"/>
      <c r="E6" s="94"/>
      <c r="F6" s="94"/>
      <c r="G6" s="94"/>
      <c r="H6" s="94"/>
      <c r="I6" s="94"/>
      <c r="J6" s="95"/>
    </row>
    <row r="7" spans="1:10" x14ac:dyDescent="0.35">
      <c r="A7" s="42" t="s">
        <v>13</v>
      </c>
      <c r="B7" s="93" t="s">
        <v>14</v>
      </c>
      <c r="C7" s="94"/>
      <c r="D7" s="94"/>
      <c r="E7" s="94"/>
      <c r="F7" s="94"/>
      <c r="G7" s="94"/>
      <c r="H7" s="94"/>
      <c r="I7" s="94"/>
      <c r="J7" s="95"/>
    </row>
    <row r="8" spans="1:10" x14ac:dyDescent="0.35">
      <c r="A8" s="42" t="s">
        <v>1</v>
      </c>
      <c r="B8" s="93" t="s">
        <v>8</v>
      </c>
      <c r="C8" s="94"/>
      <c r="D8" s="94"/>
      <c r="E8" s="94"/>
      <c r="F8" s="94"/>
      <c r="G8" s="94"/>
      <c r="H8" s="94"/>
      <c r="I8" s="94"/>
      <c r="J8" s="95"/>
    </row>
    <row r="9" spans="1:10" x14ac:dyDescent="0.35">
      <c r="A9" s="42" t="s">
        <v>15</v>
      </c>
      <c r="B9" s="93">
        <v>3</v>
      </c>
      <c r="C9" s="94"/>
      <c r="D9" s="94"/>
      <c r="E9" s="94"/>
      <c r="F9" s="94"/>
      <c r="G9" s="94"/>
      <c r="H9" s="94"/>
      <c r="I9" s="94"/>
      <c r="J9" s="95"/>
    </row>
    <row r="10" spans="1:10" x14ac:dyDescent="0.35">
      <c r="A10" s="43" t="s">
        <v>18</v>
      </c>
      <c r="B10" s="103">
        <v>0.65512127512127505</v>
      </c>
      <c r="C10" s="104"/>
      <c r="D10" s="104"/>
      <c r="E10" s="104"/>
      <c r="F10" s="104"/>
      <c r="G10" s="104"/>
      <c r="H10" s="104"/>
      <c r="I10" s="104"/>
      <c r="J10" s="105"/>
    </row>
    <row r="11" spans="1:10" x14ac:dyDescent="0.35">
      <c r="A11" s="44"/>
      <c r="B11" s="93" t="s">
        <v>21</v>
      </c>
      <c r="C11" s="94"/>
      <c r="D11" s="94"/>
      <c r="E11" s="94"/>
      <c r="F11" s="94"/>
      <c r="G11" s="94"/>
      <c r="H11" s="94"/>
      <c r="I11" s="94"/>
      <c r="J11" s="95"/>
    </row>
    <row r="12" spans="1:10" x14ac:dyDescent="0.35">
      <c r="A12" s="44"/>
      <c r="B12" s="45"/>
      <c r="C12" s="39"/>
      <c r="D12" s="39"/>
      <c r="F12" s="39"/>
      <c r="G12" s="39"/>
      <c r="H12" s="39"/>
      <c r="I12" s="47"/>
      <c r="J12" s="40"/>
    </row>
    <row r="13" spans="1:10" ht="15" customHeight="1" x14ac:dyDescent="0.35">
      <c r="A13" s="44"/>
      <c r="B13" s="106" t="s">
        <v>24</v>
      </c>
      <c r="C13" s="106" t="s">
        <v>19</v>
      </c>
      <c r="D13" s="106" t="s">
        <v>20</v>
      </c>
      <c r="E13" s="106" t="s">
        <v>2</v>
      </c>
      <c r="F13" s="93" t="s">
        <v>22</v>
      </c>
      <c r="G13" s="94"/>
      <c r="H13" s="108"/>
      <c r="I13" s="106" t="s">
        <v>70</v>
      </c>
      <c r="J13" s="40"/>
    </row>
    <row r="14" spans="1:10" x14ac:dyDescent="0.35">
      <c r="A14" s="48" t="s">
        <v>5</v>
      </c>
      <c r="B14" s="107"/>
      <c r="C14" s="107"/>
      <c r="D14" s="107"/>
      <c r="E14" s="107"/>
      <c r="F14" s="49" t="s">
        <v>25</v>
      </c>
      <c r="G14" s="50" t="s">
        <v>26</v>
      </c>
      <c r="H14" s="45" t="s">
        <v>23</v>
      </c>
      <c r="I14" s="107"/>
      <c r="J14" s="40" t="s">
        <v>3</v>
      </c>
    </row>
    <row r="15" spans="1:10" x14ac:dyDescent="0.35">
      <c r="A15" s="48">
        <v>1</v>
      </c>
      <c r="B15" s="51" t="s">
        <v>29</v>
      </c>
      <c r="C15" s="51">
        <v>2019</v>
      </c>
      <c r="D15" s="51">
        <v>74</v>
      </c>
      <c r="E15" s="52">
        <v>59.45945945945946</v>
      </c>
      <c r="F15" s="52">
        <v>40.54054054054054</v>
      </c>
      <c r="G15" s="51" t="s">
        <v>0</v>
      </c>
      <c r="H15" s="52">
        <v>40.54054054054054</v>
      </c>
      <c r="I15" s="51" t="s">
        <v>0</v>
      </c>
      <c r="J15" s="65">
        <v>18</v>
      </c>
    </row>
    <row r="16" spans="1:10" x14ac:dyDescent="0.35">
      <c r="A16" s="48">
        <v>1</v>
      </c>
      <c r="B16" s="51" t="s">
        <v>29</v>
      </c>
      <c r="C16" s="51">
        <v>2019</v>
      </c>
      <c r="D16" s="51">
        <v>250</v>
      </c>
      <c r="E16" s="52">
        <v>64</v>
      </c>
      <c r="F16" s="52">
        <v>36</v>
      </c>
      <c r="G16" s="51" t="s">
        <v>0</v>
      </c>
      <c r="H16" s="52">
        <v>36</v>
      </c>
      <c r="I16" s="51" t="s">
        <v>0</v>
      </c>
      <c r="J16" s="65">
        <v>18</v>
      </c>
    </row>
    <row r="17" spans="1:10" x14ac:dyDescent="0.35">
      <c r="A17" s="48">
        <v>1</v>
      </c>
      <c r="B17" s="51" t="s">
        <v>29</v>
      </c>
      <c r="C17" s="51">
        <v>2019</v>
      </c>
      <c r="D17" s="51">
        <v>182</v>
      </c>
      <c r="E17" s="52">
        <v>73.076923076923066</v>
      </c>
      <c r="F17" s="52">
        <v>26.923076923076923</v>
      </c>
      <c r="G17" s="51" t="s">
        <v>0</v>
      </c>
      <c r="H17" s="52">
        <v>26.923076923076923</v>
      </c>
      <c r="I17" s="51" t="s">
        <v>0</v>
      </c>
      <c r="J17" s="65">
        <v>18</v>
      </c>
    </row>
    <row r="18" spans="1:10" ht="15" thickBot="1" x14ac:dyDescent="0.4">
      <c r="A18" s="53"/>
      <c r="B18" s="54"/>
      <c r="C18" s="55"/>
      <c r="D18" s="55"/>
      <c r="E18" s="54"/>
      <c r="F18" s="55"/>
      <c r="G18" s="55"/>
      <c r="H18" s="55"/>
      <c r="I18" s="54"/>
      <c r="J18" s="56"/>
    </row>
  </sheetData>
  <mergeCells count="16">
    <mergeCell ref="B8:J8"/>
    <mergeCell ref="B9:J9"/>
    <mergeCell ref="B10:J10"/>
    <mergeCell ref="B11:J11"/>
    <mergeCell ref="B13:B14"/>
    <mergeCell ref="C13:C14"/>
    <mergeCell ref="D13:D14"/>
    <mergeCell ref="E13:E14"/>
    <mergeCell ref="F13:H13"/>
    <mergeCell ref="I13:I14"/>
    <mergeCell ref="B7:J7"/>
    <mergeCell ref="A1:J2"/>
    <mergeCell ref="A3:J3"/>
    <mergeCell ref="A4:J4"/>
    <mergeCell ref="B5:J5"/>
    <mergeCell ref="B6:J6"/>
  </mergeCells>
  <pageMargins left="0.7" right="0.7" top="0.75" bottom="0.75" header="0.3" footer="0.3"/>
  <pageSetup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9CAD4-F115-4635-B5F6-EBF935783972}">
  <sheetPr>
    <tabColor rgb="FFFFFF00"/>
  </sheetPr>
  <dimension ref="A1:J20"/>
  <sheetViews>
    <sheetView zoomScale="130" zoomScaleNormal="130" workbookViewId="0">
      <selection activeCell="B9" sqref="B9:J9"/>
    </sheetView>
  </sheetViews>
  <sheetFormatPr defaultColWidth="9.1796875" defaultRowHeight="14.5" x14ac:dyDescent="0.35"/>
  <cols>
    <col min="1" max="1" width="20.1796875" style="38" bestFit="1" customWidth="1"/>
    <col min="2" max="2" width="14.26953125" style="46" bestFit="1" customWidth="1"/>
    <col min="3" max="3" width="8.1796875" style="46" customWidth="1"/>
    <col min="4" max="4" width="10.54296875" style="46" customWidth="1"/>
    <col min="5" max="5" width="9.54296875" style="46" customWidth="1"/>
    <col min="6" max="6" width="12.1796875" style="46" customWidth="1"/>
    <col min="7" max="7" width="12.54296875" style="46" customWidth="1"/>
    <col min="8" max="8" width="8.81640625" style="46" bestFit="1" customWidth="1"/>
    <col min="9" max="9" width="14.1796875" style="46" customWidth="1"/>
    <col min="10" max="10" width="7" style="46" bestFit="1" customWidth="1"/>
    <col min="11" max="16384" width="9.1796875" style="38"/>
  </cols>
  <sheetData>
    <row r="1" spans="1:10" ht="15" customHeight="1" x14ac:dyDescent="0.35">
      <c r="A1" s="96" t="s">
        <v>16</v>
      </c>
      <c r="B1" s="97"/>
      <c r="C1" s="97"/>
      <c r="D1" s="97"/>
      <c r="E1" s="97"/>
      <c r="F1" s="97"/>
      <c r="G1" s="97"/>
      <c r="H1" s="97"/>
      <c r="I1" s="97"/>
      <c r="J1" s="98"/>
    </row>
    <row r="2" spans="1:10" ht="15" customHeight="1" x14ac:dyDescent="0.35">
      <c r="A2" s="99"/>
      <c r="B2" s="100"/>
      <c r="C2" s="100"/>
      <c r="D2" s="100"/>
      <c r="E2" s="100"/>
      <c r="F2" s="100"/>
      <c r="G2" s="100"/>
      <c r="H2" s="100"/>
      <c r="I2" s="100"/>
      <c r="J2" s="101"/>
    </row>
    <row r="3" spans="1:10" x14ac:dyDescent="0.35">
      <c r="A3" s="102" t="s">
        <v>136</v>
      </c>
      <c r="B3" s="94"/>
      <c r="C3" s="94"/>
      <c r="D3" s="94"/>
      <c r="E3" s="94"/>
      <c r="F3" s="94"/>
      <c r="G3" s="94"/>
      <c r="H3" s="94"/>
      <c r="I3" s="94"/>
      <c r="J3" s="95"/>
    </row>
    <row r="4" spans="1:10" x14ac:dyDescent="0.35">
      <c r="A4" s="102"/>
      <c r="B4" s="94"/>
      <c r="C4" s="94"/>
      <c r="D4" s="94"/>
      <c r="E4" s="94"/>
      <c r="F4" s="94"/>
      <c r="G4" s="94"/>
      <c r="H4" s="94"/>
      <c r="I4" s="94"/>
      <c r="J4" s="95"/>
    </row>
    <row r="5" spans="1:10" x14ac:dyDescent="0.35">
      <c r="A5" s="41" t="s">
        <v>11</v>
      </c>
      <c r="B5" s="93">
        <v>937</v>
      </c>
      <c r="C5" s="94"/>
      <c r="D5" s="94"/>
      <c r="E5" s="94"/>
      <c r="F5" s="94"/>
      <c r="G5" s="94"/>
      <c r="H5" s="94"/>
      <c r="I5" s="94"/>
      <c r="J5" s="95"/>
    </row>
    <row r="6" spans="1:10" x14ac:dyDescent="0.35">
      <c r="A6" s="42" t="s">
        <v>12</v>
      </c>
      <c r="B6" s="93" t="s">
        <v>137</v>
      </c>
      <c r="C6" s="94"/>
      <c r="D6" s="94"/>
      <c r="E6" s="94"/>
      <c r="F6" s="94"/>
      <c r="G6" s="94"/>
      <c r="H6" s="94"/>
      <c r="I6" s="94"/>
      <c r="J6" s="95"/>
    </row>
    <row r="7" spans="1:10" x14ac:dyDescent="0.35">
      <c r="A7" s="42" t="s">
        <v>13</v>
      </c>
      <c r="B7" s="93" t="s">
        <v>14</v>
      </c>
      <c r="C7" s="94"/>
      <c r="D7" s="94"/>
      <c r="E7" s="94"/>
      <c r="F7" s="94"/>
      <c r="G7" s="94"/>
      <c r="H7" s="94"/>
      <c r="I7" s="94"/>
      <c r="J7" s="95"/>
    </row>
    <row r="8" spans="1:10" x14ac:dyDescent="0.35">
      <c r="A8" s="42" t="s">
        <v>1</v>
      </c>
      <c r="B8" s="93" t="s">
        <v>17</v>
      </c>
      <c r="C8" s="94"/>
      <c r="D8" s="94"/>
      <c r="E8" s="94"/>
      <c r="F8" s="94"/>
      <c r="G8" s="94"/>
      <c r="H8" s="94"/>
      <c r="I8" s="94"/>
      <c r="J8" s="95"/>
    </row>
    <row r="9" spans="1:10" x14ac:dyDescent="0.35">
      <c r="A9" s="42" t="s">
        <v>15</v>
      </c>
      <c r="B9" s="93">
        <v>5</v>
      </c>
      <c r="C9" s="94"/>
      <c r="D9" s="94"/>
      <c r="E9" s="94"/>
      <c r="F9" s="94"/>
      <c r="G9" s="94"/>
      <c r="H9" s="94"/>
      <c r="I9" s="94"/>
      <c r="J9" s="95"/>
    </row>
    <row r="10" spans="1:10" x14ac:dyDescent="0.35">
      <c r="A10" s="43" t="s">
        <v>18</v>
      </c>
      <c r="B10" s="103">
        <v>0.80863398286814947</v>
      </c>
      <c r="C10" s="104"/>
      <c r="D10" s="104"/>
      <c r="E10" s="104"/>
      <c r="F10" s="104"/>
      <c r="G10" s="104"/>
      <c r="H10" s="104"/>
      <c r="I10" s="104"/>
      <c r="J10" s="105"/>
    </row>
    <row r="11" spans="1:10" x14ac:dyDescent="0.35">
      <c r="A11" s="44"/>
      <c r="B11" s="93" t="s">
        <v>21</v>
      </c>
      <c r="C11" s="94"/>
      <c r="D11" s="94"/>
      <c r="E11" s="94"/>
      <c r="F11" s="94"/>
      <c r="G11" s="94"/>
      <c r="H11" s="94"/>
      <c r="I11" s="94"/>
      <c r="J11" s="95"/>
    </row>
    <row r="12" spans="1:10" x14ac:dyDescent="0.35">
      <c r="A12" s="44"/>
      <c r="B12" s="45"/>
      <c r="C12" s="39"/>
      <c r="D12" s="39"/>
      <c r="F12" s="39"/>
      <c r="G12" s="39"/>
      <c r="H12" s="39"/>
      <c r="I12" s="47"/>
      <c r="J12" s="40"/>
    </row>
    <row r="13" spans="1:10" ht="15" customHeight="1" x14ac:dyDescent="0.35">
      <c r="A13" s="44"/>
      <c r="B13" s="106" t="s">
        <v>24</v>
      </c>
      <c r="C13" s="106" t="s">
        <v>19</v>
      </c>
      <c r="D13" s="106" t="s">
        <v>20</v>
      </c>
      <c r="E13" s="106" t="s">
        <v>2</v>
      </c>
      <c r="F13" s="93" t="s">
        <v>22</v>
      </c>
      <c r="G13" s="94"/>
      <c r="H13" s="108"/>
      <c r="I13" s="106" t="s">
        <v>70</v>
      </c>
      <c r="J13" s="40"/>
    </row>
    <row r="14" spans="1:10" x14ac:dyDescent="0.35">
      <c r="A14" s="48" t="s">
        <v>5</v>
      </c>
      <c r="B14" s="107"/>
      <c r="C14" s="107"/>
      <c r="D14" s="107"/>
      <c r="E14" s="107"/>
      <c r="F14" s="49" t="s">
        <v>25</v>
      </c>
      <c r="G14" s="50" t="s">
        <v>26</v>
      </c>
      <c r="H14" s="45" t="s">
        <v>23</v>
      </c>
      <c r="I14" s="107"/>
      <c r="J14" s="40" t="s">
        <v>3</v>
      </c>
    </row>
    <row r="15" spans="1:10" x14ac:dyDescent="0.35">
      <c r="A15" s="48">
        <v>1</v>
      </c>
      <c r="B15" s="57" t="s">
        <v>29</v>
      </c>
      <c r="C15" s="57">
        <v>2019</v>
      </c>
      <c r="D15" s="57">
        <v>85</v>
      </c>
      <c r="E15" s="58">
        <v>89.411764705882362</v>
      </c>
      <c r="F15" s="58">
        <v>10.588235294117647</v>
      </c>
      <c r="G15" s="57" t="s">
        <v>0</v>
      </c>
      <c r="H15" s="58">
        <v>10.588235294117647</v>
      </c>
      <c r="I15" s="57" t="s">
        <v>0</v>
      </c>
      <c r="J15" s="63">
        <v>18</v>
      </c>
    </row>
    <row r="16" spans="1:10" x14ac:dyDescent="0.35">
      <c r="A16" s="48">
        <v>1</v>
      </c>
      <c r="B16" s="57" t="s">
        <v>29</v>
      </c>
      <c r="C16" s="57">
        <v>2019</v>
      </c>
      <c r="D16" s="57">
        <v>191</v>
      </c>
      <c r="E16" s="58">
        <v>83.769633507853399</v>
      </c>
      <c r="F16" s="58">
        <v>16.230366492146597</v>
      </c>
      <c r="G16" s="57" t="s">
        <v>0</v>
      </c>
      <c r="H16" s="58">
        <v>16.230366492146597</v>
      </c>
      <c r="I16" s="57" t="s">
        <v>0</v>
      </c>
      <c r="J16" s="63">
        <v>18</v>
      </c>
    </row>
    <row r="17" spans="1:10" x14ac:dyDescent="0.35">
      <c r="A17" s="59">
        <v>1</v>
      </c>
      <c r="B17" s="60" t="s">
        <v>29</v>
      </c>
      <c r="C17" s="60">
        <v>2019</v>
      </c>
      <c r="D17" s="60">
        <v>118</v>
      </c>
      <c r="E17" s="61">
        <v>88.135593220338976</v>
      </c>
      <c r="F17" s="61">
        <v>11.864406779661017</v>
      </c>
      <c r="G17" s="57" t="s">
        <v>0</v>
      </c>
      <c r="H17" s="58">
        <v>11.864406779661017</v>
      </c>
      <c r="I17" s="57" t="s">
        <v>0</v>
      </c>
      <c r="J17" s="64">
        <v>18</v>
      </c>
    </row>
    <row r="18" spans="1:10" x14ac:dyDescent="0.35">
      <c r="A18" s="59">
        <v>1</v>
      </c>
      <c r="B18" s="62" t="s">
        <v>71</v>
      </c>
      <c r="C18" s="60">
        <v>2023</v>
      </c>
      <c r="D18" s="57" t="s">
        <v>0</v>
      </c>
      <c r="E18" s="61">
        <v>80</v>
      </c>
      <c r="F18" s="61">
        <v>20</v>
      </c>
      <c r="G18" s="57" t="s">
        <v>0</v>
      </c>
      <c r="H18" s="58">
        <v>20</v>
      </c>
      <c r="I18" s="57" t="s">
        <v>0</v>
      </c>
      <c r="J18" s="64">
        <v>18</v>
      </c>
    </row>
    <row r="19" spans="1:10" x14ac:dyDescent="0.35">
      <c r="A19" s="59">
        <v>1</v>
      </c>
      <c r="B19" s="62" t="s">
        <v>71</v>
      </c>
      <c r="C19" s="60">
        <v>2023</v>
      </c>
      <c r="D19" s="57" t="s">
        <v>0</v>
      </c>
      <c r="E19" s="61">
        <v>63</v>
      </c>
      <c r="F19" s="61">
        <v>37</v>
      </c>
      <c r="G19" s="57" t="s">
        <v>0</v>
      </c>
      <c r="H19" s="58">
        <v>37</v>
      </c>
      <c r="I19" s="57" t="s">
        <v>0</v>
      </c>
      <c r="J19" s="64">
        <v>18</v>
      </c>
    </row>
    <row r="20" spans="1:10" ht="15" thickBot="1" x14ac:dyDescent="0.4">
      <c r="A20" s="53"/>
      <c r="B20" s="54"/>
      <c r="C20" s="55"/>
      <c r="D20" s="55"/>
      <c r="E20" s="54"/>
      <c r="F20" s="55"/>
      <c r="G20" s="55"/>
      <c r="H20" s="55"/>
      <c r="I20" s="54"/>
      <c r="J20" s="56"/>
    </row>
  </sheetData>
  <mergeCells count="16">
    <mergeCell ref="B8:J8"/>
    <mergeCell ref="B9:J9"/>
    <mergeCell ref="B10:J10"/>
    <mergeCell ref="B11:J11"/>
    <mergeCell ref="B13:B14"/>
    <mergeCell ref="C13:C14"/>
    <mergeCell ref="D13:D14"/>
    <mergeCell ref="E13:E14"/>
    <mergeCell ref="F13:H13"/>
    <mergeCell ref="I13:I14"/>
    <mergeCell ref="B7:J7"/>
    <mergeCell ref="A1:J2"/>
    <mergeCell ref="A3:J3"/>
    <mergeCell ref="A4:J4"/>
    <mergeCell ref="B5:J5"/>
    <mergeCell ref="B6:J6"/>
  </mergeCells>
  <pageMargins left="0.7" right="0.7" top="0.75" bottom="0.75" header="0.3" footer="0.3"/>
  <pageSetup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7C8DA-236B-4701-A7C4-ED5E53C848FA}">
  <sheetPr>
    <tabColor rgb="FFFFFF00"/>
  </sheetPr>
  <dimension ref="A1:J18"/>
  <sheetViews>
    <sheetView zoomScale="130" zoomScaleNormal="130" workbookViewId="0">
      <selection activeCell="B10" sqref="B10:J10"/>
    </sheetView>
  </sheetViews>
  <sheetFormatPr defaultColWidth="9.1796875" defaultRowHeight="14.5" x14ac:dyDescent="0.35"/>
  <cols>
    <col min="1" max="1" width="20.1796875" bestFit="1" customWidth="1"/>
    <col min="2" max="2" width="14.26953125" style="1" bestFit="1" customWidth="1"/>
    <col min="3" max="3" width="8.1796875" style="1" customWidth="1"/>
    <col min="4" max="4" width="10.54296875" style="1" customWidth="1"/>
    <col min="5" max="5" width="9.54296875" style="1" customWidth="1"/>
    <col min="6" max="6" width="12.1796875" style="1" customWidth="1"/>
    <col min="7" max="7" width="12.54296875" style="1" customWidth="1"/>
    <col min="8" max="8" width="8.81640625" style="1" bestFit="1" customWidth="1"/>
    <col min="9" max="9" width="14.1796875" style="1" customWidth="1"/>
    <col min="10" max="10" width="7" style="1" bestFit="1" customWidth="1"/>
  </cols>
  <sheetData>
    <row r="1" spans="1:10" x14ac:dyDescent="0.35">
      <c r="A1" s="66" t="s">
        <v>16</v>
      </c>
      <c r="B1" s="67"/>
      <c r="C1" s="67"/>
      <c r="D1" s="67"/>
      <c r="E1" s="67"/>
      <c r="F1" s="67"/>
      <c r="G1" s="67"/>
      <c r="H1" s="67"/>
      <c r="I1" s="67"/>
      <c r="J1" s="68"/>
    </row>
    <row r="2" spans="1:10" x14ac:dyDescent="0.35">
      <c r="A2" s="69"/>
      <c r="B2" s="70"/>
      <c r="C2" s="70"/>
      <c r="D2" s="70"/>
      <c r="E2" s="70"/>
      <c r="F2" s="70"/>
      <c r="G2" s="70"/>
      <c r="H2" s="70"/>
      <c r="I2" s="70"/>
      <c r="J2" s="71"/>
    </row>
    <row r="3" spans="1:10" x14ac:dyDescent="0.35">
      <c r="A3" s="72" t="s">
        <v>136</v>
      </c>
      <c r="B3" s="73"/>
      <c r="C3" s="73"/>
      <c r="D3" s="73"/>
      <c r="E3" s="73"/>
      <c r="F3" s="73"/>
      <c r="G3" s="73"/>
      <c r="H3" s="73"/>
      <c r="I3" s="73"/>
      <c r="J3" s="74"/>
    </row>
    <row r="4" spans="1:10" x14ac:dyDescent="0.35">
      <c r="A4" s="81"/>
      <c r="B4" s="76"/>
      <c r="C4" s="76"/>
      <c r="D4" s="76"/>
      <c r="E4" s="76"/>
      <c r="F4" s="76"/>
      <c r="G4" s="76"/>
      <c r="H4" s="76"/>
      <c r="I4" s="76"/>
      <c r="J4" s="77"/>
    </row>
    <row r="5" spans="1:10" x14ac:dyDescent="0.35">
      <c r="A5" s="2" t="s">
        <v>11</v>
      </c>
      <c r="B5" s="73">
        <v>938</v>
      </c>
      <c r="C5" s="73"/>
      <c r="D5" s="73"/>
      <c r="E5" s="73"/>
      <c r="F5" s="73"/>
      <c r="G5" s="73"/>
      <c r="H5" s="73"/>
      <c r="I5" s="73"/>
      <c r="J5" s="74"/>
    </row>
    <row r="6" spans="1:10" x14ac:dyDescent="0.35">
      <c r="A6" s="3" t="s">
        <v>12</v>
      </c>
      <c r="B6" s="73" t="s">
        <v>58</v>
      </c>
      <c r="C6" s="73"/>
      <c r="D6" s="73"/>
      <c r="E6" s="73"/>
      <c r="F6" s="73"/>
      <c r="G6" s="73"/>
      <c r="H6" s="73"/>
      <c r="I6" s="73"/>
      <c r="J6" s="74"/>
    </row>
    <row r="7" spans="1:10" x14ac:dyDescent="0.35">
      <c r="A7" s="3" t="s">
        <v>13</v>
      </c>
      <c r="B7" s="73" t="s">
        <v>14</v>
      </c>
      <c r="C7" s="73"/>
      <c r="D7" s="73"/>
      <c r="E7" s="73"/>
      <c r="F7" s="73"/>
      <c r="G7" s="73"/>
      <c r="H7" s="73"/>
      <c r="I7" s="73"/>
      <c r="J7" s="74"/>
    </row>
    <row r="8" spans="1:10" x14ac:dyDescent="0.35">
      <c r="A8" s="3" t="s">
        <v>1</v>
      </c>
      <c r="B8" s="73" t="s">
        <v>53</v>
      </c>
      <c r="C8" s="73"/>
      <c r="D8" s="73"/>
      <c r="E8" s="73"/>
      <c r="F8" s="73"/>
      <c r="G8" s="73"/>
      <c r="H8" s="73"/>
      <c r="I8" s="73"/>
      <c r="J8" s="74"/>
    </row>
    <row r="9" spans="1:10" x14ac:dyDescent="0.35">
      <c r="A9" s="3" t="s">
        <v>15</v>
      </c>
      <c r="B9" s="73">
        <v>3</v>
      </c>
      <c r="C9" s="73"/>
      <c r="D9" s="73"/>
      <c r="E9" s="73"/>
      <c r="F9" s="73"/>
      <c r="G9" s="73"/>
      <c r="H9" s="73"/>
      <c r="I9" s="73"/>
      <c r="J9" s="74"/>
    </row>
    <row r="10" spans="1:10" x14ac:dyDescent="0.35">
      <c r="A10" s="9" t="s">
        <v>18</v>
      </c>
      <c r="B10" s="88">
        <v>0.9</v>
      </c>
      <c r="C10" s="88"/>
      <c r="D10" s="88"/>
      <c r="E10" s="88"/>
      <c r="F10" s="88"/>
      <c r="G10" s="88"/>
      <c r="H10" s="88"/>
      <c r="I10" s="89"/>
      <c r="J10" s="90"/>
    </row>
    <row r="11" spans="1:10" x14ac:dyDescent="0.35">
      <c r="A11" s="4"/>
      <c r="B11" s="75" t="s">
        <v>21</v>
      </c>
      <c r="C11" s="76"/>
      <c r="D11" s="76"/>
      <c r="E11" s="76"/>
      <c r="F11" s="76"/>
      <c r="G11" s="76"/>
      <c r="H11" s="76"/>
      <c r="I11" s="76"/>
      <c r="J11" s="77"/>
    </row>
    <row r="12" spans="1:10" x14ac:dyDescent="0.35">
      <c r="A12" s="4"/>
      <c r="B12" s="14"/>
      <c r="C12" s="15"/>
      <c r="D12" s="15"/>
      <c r="F12" s="15"/>
      <c r="G12" s="15"/>
      <c r="H12" s="15"/>
      <c r="I12" s="18"/>
      <c r="J12" s="16"/>
    </row>
    <row r="13" spans="1:10" ht="15" customHeight="1" x14ac:dyDescent="0.35">
      <c r="A13" s="4"/>
      <c r="B13" s="91" t="s">
        <v>24</v>
      </c>
      <c r="C13" s="91" t="s">
        <v>19</v>
      </c>
      <c r="D13" s="91" t="s">
        <v>20</v>
      </c>
      <c r="E13" s="91" t="s">
        <v>2</v>
      </c>
      <c r="F13" s="76" t="s">
        <v>22</v>
      </c>
      <c r="G13" s="76"/>
      <c r="H13" s="76"/>
      <c r="I13" s="91" t="s">
        <v>70</v>
      </c>
      <c r="J13" s="16"/>
    </row>
    <row r="14" spans="1:10" x14ac:dyDescent="0.35">
      <c r="A14" s="17" t="s">
        <v>5</v>
      </c>
      <c r="B14" s="91"/>
      <c r="C14" s="91"/>
      <c r="D14" s="91"/>
      <c r="E14" s="91"/>
      <c r="F14" s="22" t="s">
        <v>25</v>
      </c>
      <c r="G14" s="5" t="s">
        <v>26</v>
      </c>
      <c r="H14" s="14" t="s">
        <v>23</v>
      </c>
      <c r="I14" s="91"/>
      <c r="J14" s="16" t="s">
        <v>3</v>
      </c>
    </row>
    <row r="15" spans="1:10" x14ac:dyDescent="0.35">
      <c r="A15" s="17">
        <v>1</v>
      </c>
      <c r="B15" s="10" t="s">
        <v>71</v>
      </c>
      <c r="C15" s="10">
        <v>1997</v>
      </c>
      <c r="D15" s="10" t="s">
        <v>0</v>
      </c>
      <c r="E15" s="10">
        <v>83</v>
      </c>
      <c r="F15" s="10" t="s">
        <v>0</v>
      </c>
      <c r="G15" s="10" t="s">
        <v>0</v>
      </c>
      <c r="H15" s="10">
        <v>17</v>
      </c>
      <c r="I15" s="10" t="s">
        <v>0</v>
      </c>
      <c r="J15" s="11">
        <v>18</v>
      </c>
    </row>
    <row r="16" spans="1:10" x14ac:dyDescent="0.35">
      <c r="A16" s="17">
        <v>1</v>
      </c>
      <c r="B16" s="10" t="s">
        <v>64</v>
      </c>
      <c r="C16" s="10">
        <v>1998</v>
      </c>
      <c r="D16" s="10" t="s">
        <v>0</v>
      </c>
      <c r="E16" s="10">
        <v>95</v>
      </c>
      <c r="F16" s="10" t="s">
        <v>0</v>
      </c>
      <c r="G16" s="10" t="s">
        <v>0</v>
      </c>
      <c r="H16" s="10">
        <v>5</v>
      </c>
      <c r="I16" s="10" t="s">
        <v>0</v>
      </c>
      <c r="J16" s="11">
        <v>18</v>
      </c>
    </row>
    <row r="17" spans="1:10" x14ac:dyDescent="0.35">
      <c r="A17" s="17">
        <v>1</v>
      </c>
      <c r="B17" s="10" t="s">
        <v>71</v>
      </c>
      <c r="C17" s="10">
        <v>1998</v>
      </c>
      <c r="D17" s="10" t="s">
        <v>0</v>
      </c>
      <c r="E17" s="10">
        <v>92</v>
      </c>
      <c r="F17" s="10" t="s">
        <v>0</v>
      </c>
      <c r="G17" s="10" t="s">
        <v>0</v>
      </c>
      <c r="H17" s="10">
        <v>8</v>
      </c>
      <c r="I17" s="10" t="s">
        <v>0</v>
      </c>
      <c r="J17" s="11">
        <v>18</v>
      </c>
    </row>
    <row r="18" spans="1:10" ht="15" thickBot="1" x14ac:dyDescent="0.4">
      <c r="A18" s="7"/>
      <c r="B18" s="12"/>
      <c r="C18" s="8"/>
      <c r="D18" s="8"/>
      <c r="E18" s="12"/>
      <c r="F18" s="8"/>
      <c r="G18" s="8"/>
      <c r="H18" s="8"/>
      <c r="I18" s="12"/>
      <c r="J18" s="13"/>
    </row>
  </sheetData>
  <mergeCells count="16">
    <mergeCell ref="B7:J7"/>
    <mergeCell ref="A1:J2"/>
    <mergeCell ref="A3:J3"/>
    <mergeCell ref="A4:J4"/>
    <mergeCell ref="B5:J5"/>
    <mergeCell ref="B6:J6"/>
    <mergeCell ref="B8:J8"/>
    <mergeCell ref="B9:J9"/>
    <mergeCell ref="B10:J10"/>
    <mergeCell ref="B11:J11"/>
    <mergeCell ref="B13:B14"/>
    <mergeCell ref="C13:C14"/>
    <mergeCell ref="D13:D14"/>
    <mergeCell ref="E13:E14"/>
    <mergeCell ref="F13:H13"/>
    <mergeCell ref="I13:I14"/>
  </mergeCells>
  <pageMargins left="0.7" right="0.7" top="0.75" bottom="0.75" header="0.3" footer="0.3"/>
  <pageSetup orientation="landscape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6048B-1B3B-4A61-AFB1-C0C230D74B64}">
  <sheetPr>
    <tabColor rgb="FFFFFF00"/>
  </sheetPr>
  <dimension ref="A1:J18"/>
  <sheetViews>
    <sheetView zoomScale="130" zoomScaleNormal="130" workbookViewId="0">
      <selection activeCell="B9" sqref="B9:J9"/>
    </sheetView>
  </sheetViews>
  <sheetFormatPr defaultColWidth="9.1796875" defaultRowHeight="14.5" x14ac:dyDescent="0.35"/>
  <cols>
    <col min="1" max="1" width="20.1796875" bestFit="1" customWidth="1"/>
    <col min="2" max="2" width="14.26953125" style="1" bestFit="1" customWidth="1"/>
    <col min="3" max="3" width="8.1796875" style="1" customWidth="1"/>
    <col min="4" max="4" width="10.54296875" style="1" customWidth="1"/>
    <col min="5" max="5" width="9.54296875" style="1" customWidth="1"/>
    <col min="6" max="6" width="12.1796875" style="1" customWidth="1"/>
    <col min="7" max="7" width="12.54296875" style="1" customWidth="1"/>
    <col min="8" max="8" width="8.81640625" style="1" bestFit="1" customWidth="1"/>
    <col min="9" max="9" width="14.1796875" style="1" customWidth="1"/>
    <col min="10" max="10" width="7" style="1" bestFit="1" customWidth="1"/>
  </cols>
  <sheetData>
    <row r="1" spans="1:10" x14ac:dyDescent="0.35">
      <c r="A1" s="66" t="s">
        <v>16</v>
      </c>
      <c r="B1" s="67"/>
      <c r="C1" s="67"/>
      <c r="D1" s="67"/>
      <c r="E1" s="67"/>
      <c r="F1" s="67"/>
      <c r="G1" s="67"/>
      <c r="H1" s="67"/>
      <c r="I1" s="67"/>
      <c r="J1" s="68"/>
    </row>
    <row r="2" spans="1:10" x14ac:dyDescent="0.35">
      <c r="A2" s="69"/>
      <c r="B2" s="70"/>
      <c r="C2" s="70"/>
      <c r="D2" s="70"/>
      <c r="E2" s="70"/>
      <c r="F2" s="70"/>
      <c r="G2" s="70"/>
      <c r="H2" s="70"/>
      <c r="I2" s="70"/>
      <c r="J2" s="71"/>
    </row>
    <row r="3" spans="1:10" x14ac:dyDescent="0.35">
      <c r="A3" s="72" t="s">
        <v>136</v>
      </c>
      <c r="B3" s="73"/>
      <c r="C3" s="73"/>
      <c r="D3" s="73"/>
      <c r="E3" s="73"/>
      <c r="F3" s="73"/>
      <c r="G3" s="73"/>
      <c r="H3" s="73"/>
      <c r="I3" s="73"/>
      <c r="J3" s="74"/>
    </row>
    <row r="4" spans="1:10" x14ac:dyDescent="0.35">
      <c r="A4" s="81"/>
      <c r="B4" s="76"/>
      <c r="C4" s="76"/>
      <c r="D4" s="76"/>
      <c r="E4" s="76"/>
      <c r="F4" s="76"/>
      <c r="G4" s="76"/>
      <c r="H4" s="76"/>
      <c r="I4" s="76"/>
      <c r="J4" s="77"/>
    </row>
    <row r="5" spans="1:10" x14ac:dyDescent="0.35">
      <c r="A5" s="2" t="s">
        <v>11</v>
      </c>
      <c r="B5" s="73">
        <v>938</v>
      </c>
      <c r="C5" s="73"/>
      <c r="D5" s="73"/>
      <c r="E5" s="73"/>
      <c r="F5" s="73"/>
      <c r="G5" s="73"/>
      <c r="H5" s="73"/>
      <c r="I5" s="73"/>
      <c r="J5" s="74"/>
    </row>
    <row r="6" spans="1:10" x14ac:dyDescent="0.35">
      <c r="A6" s="3" t="s">
        <v>12</v>
      </c>
      <c r="B6" s="73" t="s">
        <v>58</v>
      </c>
      <c r="C6" s="73"/>
      <c r="D6" s="73"/>
      <c r="E6" s="73"/>
      <c r="F6" s="73"/>
      <c r="G6" s="73"/>
      <c r="H6" s="73"/>
      <c r="I6" s="73"/>
      <c r="J6" s="74"/>
    </row>
    <row r="7" spans="1:10" x14ac:dyDescent="0.35">
      <c r="A7" s="3" t="s">
        <v>13</v>
      </c>
      <c r="B7" s="73" t="s">
        <v>14</v>
      </c>
      <c r="C7" s="73"/>
      <c r="D7" s="73"/>
      <c r="E7" s="73"/>
      <c r="F7" s="73"/>
      <c r="G7" s="73"/>
      <c r="H7" s="73"/>
      <c r="I7" s="73"/>
      <c r="J7" s="74"/>
    </row>
    <row r="8" spans="1:10" x14ac:dyDescent="0.35">
      <c r="A8" s="3" t="s">
        <v>1</v>
      </c>
      <c r="B8" s="73" t="s">
        <v>8</v>
      </c>
      <c r="C8" s="73"/>
      <c r="D8" s="73"/>
      <c r="E8" s="73"/>
      <c r="F8" s="73"/>
      <c r="G8" s="73"/>
      <c r="H8" s="73"/>
      <c r="I8" s="73"/>
      <c r="J8" s="74"/>
    </row>
    <row r="9" spans="1:10" x14ac:dyDescent="0.35">
      <c r="A9" s="3" t="s">
        <v>15</v>
      </c>
      <c r="B9" s="73">
        <v>3</v>
      </c>
      <c r="C9" s="73"/>
      <c r="D9" s="73"/>
      <c r="E9" s="73"/>
      <c r="F9" s="73"/>
      <c r="G9" s="73"/>
      <c r="H9" s="73"/>
      <c r="I9" s="73"/>
      <c r="J9" s="74"/>
    </row>
    <row r="10" spans="1:10" x14ac:dyDescent="0.35">
      <c r="A10" s="9" t="s">
        <v>18</v>
      </c>
      <c r="B10" s="88">
        <v>0.84</v>
      </c>
      <c r="C10" s="88"/>
      <c r="D10" s="88"/>
      <c r="E10" s="88"/>
      <c r="F10" s="88"/>
      <c r="G10" s="88"/>
      <c r="H10" s="88"/>
      <c r="I10" s="89"/>
      <c r="J10" s="90"/>
    </row>
    <row r="11" spans="1:10" x14ac:dyDescent="0.35">
      <c r="A11" s="4"/>
      <c r="B11" s="75" t="s">
        <v>21</v>
      </c>
      <c r="C11" s="76"/>
      <c r="D11" s="76"/>
      <c r="E11" s="76"/>
      <c r="F11" s="76"/>
      <c r="G11" s="76"/>
      <c r="H11" s="76"/>
      <c r="I11" s="76"/>
      <c r="J11" s="77"/>
    </row>
    <row r="12" spans="1:10" x14ac:dyDescent="0.35">
      <c r="A12" s="4"/>
      <c r="B12" s="14"/>
      <c r="C12" s="15"/>
      <c r="D12" s="15"/>
      <c r="F12" s="15"/>
      <c r="G12" s="15"/>
      <c r="H12" s="15"/>
      <c r="I12" s="18"/>
      <c r="J12" s="16"/>
    </row>
    <row r="13" spans="1:10" ht="15" customHeight="1" x14ac:dyDescent="0.35">
      <c r="A13" s="4"/>
      <c r="B13" s="91" t="s">
        <v>24</v>
      </c>
      <c r="C13" s="91" t="s">
        <v>19</v>
      </c>
      <c r="D13" s="91" t="s">
        <v>20</v>
      </c>
      <c r="E13" s="91" t="s">
        <v>2</v>
      </c>
      <c r="F13" s="76" t="s">
        <v>22</v>
      </c>
      <c r="G13" s="76"/>
      <c r="H13" s="76"/>
      <c r="I13" s="91" t="s">
        <v>70</v>
      </c>
      <c r="J13" s="16"/>
    </row>
    <row r="14" spans="1:10" x14ac:dyDescent="0.35">
      <c r="A14" s="17" t="s">
        <v>5</v>
      </c>
      <c r="B14" s="91"/>
      <c r="C14" s="91"/>
      <c r="D14" s="91"/>
      <c r="E14" s="91"/>
      <c r="F14" s="22" t="s">
        <v>25</v>
      </c>
      <c r="G14" s="5" t="s">
        <v>26</v>
      </c>
      <c r="H14" s="14" t="s">
        <v>23</v>
      </c>
      <c r="I14" s="91"/>
      <c r="J14" s="16" t="s">
        <v>3</v>
      </c>
    </row>
    <row r="15" spans="1:10" x14ac:dyDescent="0.35">
      <c r="A15" s="17">
        <v>1</v>
      </c>
      <c r="B15" s="10" t="s">
        <v>71</v>
      </c>
      <c r="C15" s="10">
        <v>1997</v>
      </c>
      <c r="D15" s="10" t="s">
        <v>0</v>
      </c>
      <c r="E15" s="10">
        <v>73</v>
      </c>
      <c r="F15" s="10" t="s">
        <v>0</v>
      </c>
      <c r="G15" s="10" t="s">
        <v>0</v>
      </c>
      <c r="H15" s="10">
        <v>27</v>
      </c>
      <c r="I15" s="10" t="s">
        <v>0</v>
      </c>
      <c r="J15" s="11">
        <v>18</v>
      </c>
    </row>
    <row r="16" spans="1:10" x14ac:dyDescent="0.35">
      <c r="A16" s="17">
        <v>1</v>
      </c>
      <c r="B16" s="10" t="s">
        <v>64</v>
      </c>
      <c r="C16" s="10">
        <v>1998</v>
      </c>
      <c r="D16" s="10" t="s">
        <v>0</v>
      </c>
      <c r="E16" s="10">
        <v>100</v>
      </c>
      <c r="F16" s="10" t="s">
        <v>0</v>
      </c>
      <c r="G16" s="10" t="s">
        <v>0</v>
      </c>
      <c r="H16" s="10">
        <v>0</v>
      </c>
      <c r="I16" s="10" t="s">
        <v>0</v>
      </c>
      <c r="J16" s="11">
        <v>18</v>
      </c>
    </row>
    <row r="17" spans="1:10" x14ac:dyDescent="0.35">
      <c r="A17" s="17">
        <v>1</v>
      </c>
      <c r="B17" s="10" t="s">
        <v>71</v>
      </c>
      <c r="C17" s="10">
        <v>1998</v>
      </c>
      <c r="D17" s="10" t="s">
        <v>0</v>
      </c>
      <c r="E17" s="10">
        <v>78</v>
      </c>
      <c r="F17" s="10" t="s">
        <v>0</v>
      </c>
      <c r="G17" s="10" t="s">
        <v>0</v>
      </c>
      <c r="H17" s="10">
        <v>22</v>
      </c>
      <c r="I17" s="10" t="s">
        <v>0</v>
      </c>
      <c r="J17" s="11">
        <v>18</v>
      </c>
    </row>
    <row r="18" spans="1:10" ht="15" thickBot="1" x14ac:dyDescent="0.4">
      <c r="A18" s="7"/>
      <c r="B18" s="12"/>
      <c r="C18" s="8"/>
      <c r="D18" s="8"/>
      <c r="E18" s="12"/>
      <c r="F18" s="8"/>
      <c r="G18" s="8"/>
      <c r="H18" s="8"/>
      <c r="I18" s="12"/>
      <c r="J18" s="13"/>
    </row>
  </sheetData>
  <mergeCells count="16">
    <mergeCell ref="B7:J7"/>
    <mergeCell ref="A1:J2"/>
    <mergeCell ref="A3:J3"/>
    <mergeCell ref="A4:J4"/>
    <mergeCell ref="B5:J5"/>
    <mergeCell ref="B6:J6"/>
    <mergeCell ref="B8:J8"/>
    <mergeCell ref="B9:J9"/>
    <mergeCell ref="B10:J10"/>
    <mergeCell ref="B11:J11"/>
    <mergeCell ref="B13:B14"/>
    <mergeCell ref="C13:C14"/>
    <mergeCell ref="D13:D14"/>
    <mergeCell ref="E13:E14"/>
    <mergeCell ref="F13:H13"/>
    <mergeCell ref="I13:I14"/>
  </mergeCells>
  <pageMargins left="0.7" right="0.7" top="0.75" bottom="0.75" header="0.3" footer="0.3"/>
  <pageSetup orientation="landscape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F1DF8-FE13-42E4-A619-3610A6FD6282}">
  <sheetPr>
    <tabColor rgb="FFFFFF00"/>
  </sheetPr>
  <dimension ref="A1:J17"/>
  <sheetViews>
    <sheetView zoomScale="130" zoomScaleNormal="130" workbookViewId="0">
      <selection activeCell="A4" sqref="A4:K4"/>
    </sheetView>
  </sheetViews>
  <sheetFormatPr defaultColWidth="9.1796875" defaultRowHeight="14.5" x14ac:dyDescent="0.35"/>
  <cols>
    <col min="1" max="1" width="20.1796875" bestFit="1" customWidth="1"/>
    <col min="2" max="2" width="14.26953125" style="1" bestFit="1" customWidth="1"/>
    <col min="3" max="3" width="8.1796875" style="1" customWidth="1"/>
    <col min="4" max="4" width="10.54296875" style="1" customWidth="1"/>
    <col min="5" max="5" width="9.54296875" style="1" customWidth="1"/>
    <col min="6" max="6" width="12.1796875" style="1" customWidth="1"/>
    <col min="7" max="7" width="12.54296875" style="1" customWidth="1"/>
    <col min="8" max="8" width="8.81640625" style="1" bestFit="1" customWidth="1"/>
    <col min="9" max="9" width="14.1796875" style="1" customWidth="1"/>
    <col min="10" max="10" width="7" style="1" bestFit="1" customWidth="1"/>
  </cols>
  <sheetData>
    <row r="1" spans="1:10" x14ac:dyDescent="0.35">
      <c r="A1" s="66" t="s">
        <v>16</v>
      </c>
      <c r="B1" s="67"/>
      <c r="C1" s="67"/>
      <c r="D1" s="67"/>
      <c r="E1" s="67"/>
      <c r="F1" s="67"/>
      <c r="G1" s="67"/>
      <c r="H1" s="67"/>
      <c r="I1" s="67"/>
      <c r="J1" s="68"/>
    </row>
    <row r="2" spans="1:10" x14ac:dyDescent="0.35">
      <c r="A2" s="69"/>
      <c r="B2" s="70"/>
      <c r="C2" s="70"/>
      <c r="D2" s="70"/>
      <c r="E2" s="70"/>
      <c r="F2" s="70"/>
      <c r="G2" s="70"/>
      <c r="H2" s="70"/>
      <c r="I2" s="70"/>
      <c r="J2" s="71"/>
    </row>
    <row r="3" spans="1:10" x14ac:dyDescent="0.35">
      <c r="A3" s="72" t="s">
        <v>136</v>
      </c>
      <c r="B3" s="73"/>
      <c r="C3" s="73"/>
      <c r="D3" s="73"/>
      <c r="E3" s="73"/>
      <c r="F3" s="73"/>
      <c r="G3" s="73"/>
      <c r="H3" s="73"/>
      <c r="I3" s="73"/>
      <c r="J3" s="74"/>
    </row>
    <row r="4" spans="1:10" x14ac:dyDescent="0.35">
      <c r="A4" s="81"/>
      <c r="B4" s="76"/>
      <c r="C4" s="76"/>
      <c r="D4" s="76"/>
      <c r="E4" s="76"/>
      <c r="F4" s="76"/>
      <c r="G4" s="76"/>
      <c r="H4" s="76"/>
      <c r="I4" s="76"/>
      <c r="J4" s="77"/>
    </row>
    <row r="5" spans="1:10" x14ac:dyDescent="0.35">
      <c r="A5" s="2" t="s">
        <v>11</v>
      </c>
      <c r="B5" s="73">
        <v>938</v>
      </c>
      <c r="C5" s="73"/>
      <c r="D5" s="73"/>
      <c r="E5" s="73"/>
      <c r="F5" s="73"/>
      <c r="G5" s="73"/>
      <c r="H5" s="73"/>
      <c r="I5" s="73"/>
      <c r="J5" s="74"/>
    </row>
    <row r="6" spans="1:10" x14ac:dyDescent="0.35">
      <c r="A6" s="3" t="s">
        <v>12</v>
      </c>
      <c r="B6" s="73" t="s">
        <v>58</v>
      </c>
      <c r="C6" s="73"/>
      <c r="D6" s="73"/>
      <c r="E6" s="73"/>
      <c r="F6" s="73"/>
      <c r="G6" s="73"/>
      <c r="H6" s="73"/>
      <c r="I6" s="73"/>
      <c r="J6" s="74"/>
    </row>
    <row r="7" spans="1:10" x14ac:dyDescent="0.35">
      <c r="A7" s="3" t="s">
        <v>13</v>
      </c>
      <c r="B7" s="73" t="s">
        <v>14</v>
      </c>
      <c r="C7" s="73"/>
      <c r="D7" s="73"/>
      <c r="E7" s="73"/>
      <c r="F7" s="73"/>
      <c r="G7" s="73"/>
      <c r="H7" s="73"/>
      <c r="I7" s="73"/>
      <c r="J7" s="74"/>
    </row>
    <row r="8" spans="1:10" x14ac:dyDescent="0.35">
      <c r="A8" s="3" t="s">
        <v>1</v>
      </c>
      <c r="B8" s="73" t="s">
        <v>17</v>
      </c>
      <c r="C8" s="73"/>
      <c r="D8" s="73"/>
      <c r="E8" s="73"/>
      <c r="F8" s="73"/>
      <c r="G8" s="73"/>
      <c r="H8" s="73"/>
      <c r="I8" s="73"/>
      <c r="J8" s="74"/>
    </row>
    <row r="9" spans="1:10" x14ac:dyDescent="0.35">
      <c r="A9" s="3" t="s">
        <v>15</v>
      </c>
      <c r="B9" s="73">
        <v>2</v>
      </c>
      <c r="C9" s="73"/>
      <c r="D9" s="73"/>
      <c r="E9" s="73"/>
      <c r="F9" s="73"/>
      <c r="G9" s="73"/>
      <c r="H9" s="73"/>
      <c r="I9" s="73"/>
      <c r="J9" s="74"/>
    </row>
    <row r="10" spans="1:10" x14ac:dyDescent="0.35">
      <c r="A10" s="9" t="s">
        <v>18</v>
      </c>
      <c r="B10" s="88">
        <v>0.98</v>
      </c>
      <c r="C10" s="88"/>
      <c r="D10" s="88"/>
      <c r="E10" s="88"/>
      <c r="F10" s="88"/>
      <c r="G10" s="88"/>
      <c r="H10" s="88"/>
      <c r="I10" s="89"/>
      <c r="J10" s="90"/>
    </row>
    <row r="11" spans="1:10" x14ac:dyDescent="0.35">
      <c r="A11" s="4"/>
      <c r="B11" s="75" t="s">
        <v>21</v>
      </c>
      <c r="C11" s="76"/>
      <c r="D11" s="76"/>
      <c r="E11" s="76"/>
      <c r="F11" s="76"/>
      <c r="G11" s="76"/>
      <c r="H11" s="76"/>
      <c r="I11" s="76"/>
      <c r="J11" s="77"/>
    </row>
    <row r="12" spans="1:10" x14ac:dyDescent="0.35">
      <c r="A12" s="4"/>
      <c r="B12" s="14"/>
      <c r="C12" s="15"/>
      <c r="D12" s="15"/>
      <c r="F12" s="15"/>
      <c r="G12" s="15"/>
      <c r="H12" s="15"/>
      <c r="I12" s="18"/>
      <c r="J12" s="16"/>
    </row>
    <row r="13" spans="1:10" ht="15" customHeight="1" x14ac:dyDescent="0.35">
      <c r="A13" s="4"/>
      <c r="B13" s="91" t="s">
        <v>24</v>
      </c>
      <c r="C13" s="91" t="s">
        <v>19</v>
      </c>
      <c r="D13" s="91" t="s">
        <v>20</v>
      </c>
      <c r="E13" s="91" t="s">
        <v>2</v>
      </c>
      <c r="F13" s="76" t="s">
        <v>22</v>
      </c>
      <c r="G13" s="76"/>
      <c r="H13" s="76"/>
      <c r="I13" s="91" t="s">
        <v>70</v>
      </c>
      <c r="J13" s="16"/>
    </row>
    <row r="14" spans="1:10" x14ac:dyDescent="0.35">
      <c r="A14" s="17" t="s">
        <v>5</v>
      </c>
      <c r="B14" s="91"/>
      <c r="C14" s="91"/>
      <c r="D14" s="91"/>
      <c r="E14" s="91"/>
      <c r="F14" s="22" t="s">
        <v>25</v>
      </c>
      <c r="G14" s="5" t="s">
        <v>26</v>
      </c>
      <c r="H14" s="14" t="s">
        <v>23</v>
      </c>
      <c r="I14" s="91"/>
      <c r="J14" s="16" t="s">
        <v>3</v>
      </c>
    </row>
    <row r="15" spans="1:10" x14ac:dyDescent="0.35">
      <c r="A15" s="17">
        <v>1</v>
      </c>
      <c r="B15" s="10" t="s">
        <v>71</v>
      </c>
      <c r="C15" s="10">
        <v>1997</v>
      </c>
      <c r="D15" s="10" t="s">
        <v>0</v>
      </c>
      <c r="E15" s="10">
        <v>100</v>
      </c>
      <c r="F15" s="10" t="s">
        <v>0</v>
      </c>
      <c r="G15" s="10" t="s">
        <v>0</v>
      </c>
      <c r="H15" s="10">
        <v>0</v>
      </c>
      <c r="I15" s="10" t="s">
        <v>0</v>
      </c>
      <c r="J15" s="11">
        <v>18</v>
      </c>
    </row>
    <row r="16" spans="1:10" x14ac:dyDescent="0.35">
      <c r="A16" s="17">
        <v>1</v>
      </c>
      <c r="B16" s="10" t="s">
        <v>64</v>
      </c>
      <c r="C16" s="10">
        <v>1998</v>
      </c>
      <c r="D16" s="10" t="s">
        <v>0</v>
      </c>
      <c r="E16" s="10">
        <v>95</v>
      </c>
      <c r="F16" s="10" t="s">
        <v>0</v>
      </c>
      <c r="G16" s="10" t="s">
        <v>0</v>
      </c>
      <c r="H16" s="10">
        <v>5</v>
      </c>
      <c r="I16" s="10" t="s">
        <v>0</v>
      </c>
      <c r="J16" s="11">
        <v>18</v>
      </c>
    </row>
    <row r="17" spans="1:10" ht="15" thickBot="1" x14ac:dyDescent="0.4">
      <c r="A17" s="7"/>
      <c r="B17" s="12"/>
      <c r="C17" s="8"/>
      <c r="D17" s="8"/>
      <c r="E17" s="12"/>
      <c r="F17" s="8"/>
      <c r="G17" s="8"/>
      <c r="H17" s="8"/>
      <c r="I17" s="12"/>
      <c r="J17" s="13"/>
    </row>
  </sheetData>
  <mergeCells count="16">
    <mergeCell ref="B7:J7"/>
    <mergeCell ref="A1:J2"/>
    <mergeCell ref="A3:J3"/>
    <mergeCell ref="A4:J4"/>
    <mergeCell ref="B5:J5"/>
    <mergeCell ref="B6:J6"/>
    <mergeCell ref="B8:J8"/>
    <mergeCell ref="B9:J9"/>
    <mergeCell ref="B10:J10"/>
    <mergeCell ref="B11:J11"/>
    <mergeCell ref="B13:B14"/>
    <mergeCell ref="C13:C14"/>
    <mergeCell ref="D13:D14"/>
    <mergeCell ref="E13:E14"/>
    <mergeCell ref="F13:H13"/>
    <mergeCell ref="I13:I14"/>
  </mergeCells>
  <pageMargins left="0.7" right="0.7" top="0.75" bottom="0.75" header="0.3" footer="0.3"/>
  <pageSetup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F755E-16F3-4413-B0A4-E27680EB2363}">
  <sheetPr>
    <tabColor rgb="FFFFFF00"/>
  </sheetPr>
  <dimension ref="A1:J27"/>
  <sheetViews>
    <sheetView topLeftCell="A7" zoomScale="130" zoomScaleNormal="130" workbookViewId="0">
      <selection activeCell="A4" sqref="A4:K4"/>
    </sheetView>
  </sheetViews>
  <sheetFormatPr defaultColWidth="9.1796875" defaultRowHeight="14.5" x14ac:dyDescent="0.35"/>
  <cols>
    <col min="1" max="1" width="21.81640625" customWidth="1"/>
    <col min="2" max="2" width="14.26953125" style="1" bestFit="1" customWidth="1"/>
    <col min="3" max="3" width="8.1796875" style="1" customWidth="1"/>
    <col min="4" max="4" width="10.54296875" style="1" customWidth="1"/>
    <col min="5" max="5" width="9.54296875" style="1" customWidth="1"/>
    <col min="6" max="6" width="12.1796875" style="1" customWidth="1"/>
    <col min="7" max="7" width="12.54296875" style="1" customWidth="1"/>
    <col min="8" max="8" width="8.81640625" style="1" bestFit="1" customWidth="1"/>
    <col min="9" max="9" width="14.1796875" style="1" customWidth="1"/>
    <col min="10" max="10" width="7" style="1" bestFit="1" customWidth="1"/>
  </cols>
  <sheetData>
    <row r="1" spans="1:10" x14ac:dyDescent="0.35">
      <c r="A1" s="66" t="s">
        <v>16</v>
      </c>
      <c r="B1" s="67"/>
      <c r="C1" s="67"/>
      <c r="D1" s="67"/>
      <c r="E1" s="67"/>
      <c r="F1" s="67"/>
      <c r="G1" s="67"/>
      <c r="H1" s="67"/>
      <c r="I1" s="67"/>
      <c r="J1" s="68"/>
    </row>
    <row r="2" spans="1:10" x14ac:dyDescent="0.35">
      <c r="A2" s="69"/>
      <c r="B2" s="70"/>
      <c r="C2" s="70"/>
      <c r="D2" s="70"/>
      <c r="E2" s="70"/>
      <c r="F2" s="70"/>
      <c r="G2" s="70"/>
      <c r="H2" s="70"/>
      <c r="I2" s="70"/>
      <c r="J2" s="71"/>
    </row>
    <row r="3" spans="1:10" x14ac:dyDescent="0.35">
      <c r="A3" s="72" t="s">
        <v>136</v>
      </c>
      <c r="B3" s="73"/>
      <c r="C3" s="73"/>
      <c r="D3" s="73"/>
      <c r="E3" s="73"/>
      <c r="F3" s="73"/>
      <c r="G3" s="73"/>
      <c r="H3" s="73"/>
      <c r="I3" s="73"/>
      <c r="J3" s="74"/>
    </row>
    <row r="4" spans="1:10" x14ac:dyDescent="0.35">
      <c r="A4" s="81"/>
      <c r="B4" s="76"/>
      <c r="C4" s="76"/>
      <c r="D4" s="76"/>
      <c r="E4" s="76"/>
      <c r="F4" s="76"/>
      <c r="G4" s="76"/>
      <c r="H4" s="76"/>
      <c r="I4" s="76"/>
      <c r="J4" s="77"/>
    </row>
    <row r="5" spans="1:10" x14ac:dyDescent="0.35">
      <c r="A5" s="2" t="s">
        <v>11</v>
      </c>
      <c r="B5" s="73">
        <v>944</v>
      </c>
      <c r="C5" s="73"/>
      <c r="D5" s="73"/>
      <c r="E5" s="73"/>
      <c r="F5" s="73"/>
      <c r="G5" s="73"/>
      <c r="H5" s="73"/>
      <c r="I5" s="73"/>
      <c r="J5" s="74"/>
    </row>
    <row r="6" spans="1:10" x14ac:dyDescent="0.35">
      <c r="A6" s="3" t="s">
        <v>12</v>
      </c>
      <c r="B6" s="73" t="s">
        <v>59</v>
      </c>
      <c r="C6" s="73"/>
      <c r="D6" s="73"/>
      <c r="E6" s="73"/>
      <c r="F6" s="73"/>
      <c r="G6" s="73"/>
      <c r="H6" s="73"/>
      <c r="I6" s="73"/>
      <c r="J6" s="74"/>
    </row>
    <row r="7" spans="1:10" x14ac:dyDescent="0.35">
      <c r="A7" s="3" t="s">
        <v>13</v>
      </c>
      <c r="B7" s="73" t="s">
        <v>14</v>
      </c>
      <c r="C7" s="73"/>
      <c r="D7" s="73"/>
      <c r="E7" s="73"/>
      <c r="F7" s="73"/>
      <c r="G7" s="73"/>
      <c r="H7" s="73"/>
      <c r="I7" s="73"/>
      <c r="J7" s="74"/>
    </row>
    <row r="8" spans="1:10" x14ac:dyDescent="0.35">
      <c r="A8" s="3" t="s">
        <v>1</v>
      </c>
      <c r="B8" s="73" t="s">
        <v>53</v>
      </c>
      <c r="C8" s="73"/>
      <c r="D8" s="73"/>
      <c r="E8" s="73"/>
      <c r="F8" s="73"/>
      <c r="G8" s="73"/>
      <c r="H8" s="73"/>
      <c r="I8" s="73"/>
      <c r="J8" s="74"/>
    </row>
    <row r="9" spans="1:10" x14ac:dyDescent="0.35">
      <c r="A9" s="3" t="s">
        <v>15</v>
      </c>
      <c r="B9" s="73">
        <v>12</v>
      </c>
      <c r="C9" s="73"/>
      <c r="D9" s="73"/>
      <c r="E9" s="73"/>
      <c r="F9" s="73"/>
      <c r="G9" s="73"/>
      <c r="H9" s="73"/>
      <c r="I9" s="73"/>
      <c r="J9" s="74"/>
    </row>
    <row r="10" spans="1:10" x14ac:dyDescent="0.35">
      <c r="A10" s="9" t="s">
        <v>18</v>
      </c>
      <c r="B10" s="88">
        <v>0.63</v>
      </c>
      <c r="C10" s="88"/>
      <c r="D10" s="88"/>
      <c r="E10" s="88"/>
      <c r="F10" s="88"/>
      <c r="G10" s="88"/>
      <c r="H10" s="88"/>
      <c r="I10" s="89"/>
      <c r="J10" s="90"/>
    </row>
    <row r="11" spans="1:10" x14ac:dyDescent="0.35">
      <c r="A11" s="4"/>
      <c r="B11" s="75" t="s">
        <v>21</v>
      </c>
      <c r="C11" s="76"/>
      <c r="D11" s="76"/>
      <c r="E11" s="76"/>
      <c r="F11" s="76"/>
      <c r="G11" s="76"/>
      <c r="H11" s="76"/>
      <c r="I11" s="76"/>
      <c r="J11" s="77"/>
    </row>
    <row r="12" spans="1:10" x14ac:dyDescent="0.35">
      <c r="A12" s="4"/>
      <c r="B12" s="14"/>
      <c r="C12" s="15"/>
      <c r="D12" s="15"/>
      <c r="F12" s="15"/>
      <c r="G12" s="15"/>
      <c r="H12" s="15"/>
      <c r="I12" s="18"/>
      <c r="J12" s="16"/>
    </row>
    <row r="13" spans="1:10" ht="15" customHeight="1" x14ac:dyDescent="0.35">
      <c r="A13" s="4"/>
      <c r="B13" s="91" t="s">
        <v>24</v>
      </c>
      <c r="C13" s="91" t="s">
        <v>19</v>
      </c>
      <c r="D13" s="91" t="s">
        <v>20</v>
      </c>
      <c r="E13" s="91" t="s">
        <v>2</v>
      </c>
      <c r="F13" s="76" t="s">
        <v>22</v>
      </c>
      <c r="G13" s="76"/>
      <c r="H13" s="76"/>
      <c r="I13" s="91" t="s">
        <v>70</v>
      </c>
      <c r="J13" s="16"/>
    </row>
    <row r="14" spans="1:10" x14ac:dyDescent="0.35">
      <c r="A14" s="17" t="s">
        <v>4</v>
      </c>
      <c r="B14" s="91"/>
      <c r="C14" s="91"/>
      <c r="D14" s="91"/>
      <c r="E14" s="91"/>
      <c r="F14" s="22" t="s">
        <v>25</v>
      </c>
      <c r="G14" s="5" t="s">
        <v>26</v>
      </c>
      <c r="H14" s="14" t="s">
        <v>23</v>
      </c>
      <c r="I14" s="91"/>
      <c r="J14" s="16" t="s">
        <v>3</v>
      </c>
    </row>
    <row r="15" spans="1:10" x14ac:dyDescent="0.35">
      <c r="A15" s="17">
        <v>6</v>
      </c>
      <c r="B15" s="10" t="s">
        <v>66</v>
      </c>
      <c r="C15" s="10">
        <v>1992</v>
      </c>
      <c r="D15" s="10">
        <v>21</v>
      </c>
      <c r="E15" s="10">
        <v>67</v>
      </c>
      <c r="F15" s="10">
        <v>14</v>
      </c>
      <c r="G15" s="10">
        <v>19</v>
      </c>
      <c r="H15" s="10">
        <v>33</v>
      </c>
      <c r="I15" s="10">
        <v>900</v>
      </c>
      <c r="J15" s="11">
        <v>25</v>
      </c>
    </row>
    <row r="16" spans="1:10" x14ac:dyDescent="0.35">
      <c r="A16" s="17">
        <v>6</v>
      </c>
      <c r="B16" s="10" t="s">
        <v>66</v>
      </c>
      <c r="C16" s="10">
        <v>1992</v>
      </c>
      <c r="D16" s="10">
        <v>21</v>
      </c>
      <c r="E16" s="10">
        <v>43</v>
      </c>
      <c r="F16" s="10">
        <v>28</v>
      </c>
      <c r="G16" s="10">
        <v>29</v>
      </c>
      <c r="H16" s="10">
        <v>57</v>
      </c>
      <c r="I16" s="10">
        <v>870</v>
      </c>
      <c r="J16" s="11">
        <v>25</v>
      </c>
    </row>
    <row r="17" spans="1:10" x14ac:dyDescent="0.35">
      <c r="A17" s="17">
        <v>8</v>
      </c>
      <c r="B17" s="10" t="s">
        <v>66</v>
      </c>
      <c r="C17" s="10">
        <v>1992</v>
      </c>
      <c r="D17" s="10">
        <v>46</v>
      </c>
      <c r="E17" s="10">
        <v>87</v>
      </c>
      <c r="F17" s="10">
        <v>13</v>
      </c>
      <c r="G17" s="10">
        <v>0</v>
      </c>
      <c r="H17" s="10">
        <v>13</v>
      </c>
      <c r="I17" s="10">
        <v>2235</v>
      </c>
      <c r="J17" s="11">
        <v>25</v>
      </c>
    </row>
    <row r="18" spans="1:10" x14ac:dyDescent="0.35">
      <c r="A18" s="17">
        <v>8</v>
      </c>
      <c r="B18" s="10" t="s">
        <v>66</v>
      </c>
      <c r="C18" s="10">
        <v>1992</v>
      </c>
      <c r="D18" s="10">
        <v>35</v>
      </c>
      <c r="E18" s="10">
        <v>78</v>
      </c>
      <c r="F18" s="10">
        <v>9</v>
      </c>
      <c r="G18" s="10">
        <v>13</v>
      </c>
      <c r="H18" s="10">
        <v>22</v>
      </c>
      <c r="I18" s="10">
        <v>7080</v>
      </c>
      <c r="J18" s="11">
        <v>25</v>
      </c>
    </row>
    <row r="19" spans="1:10" x14ac:dyDescent="0.35">
      <c r="A19" s="17">
        <v>8</v>
      </c>
      <c r="B19" s="10" t="s">
        <v>31</v>
      </c>
      <c r="C19" s="10">
        <v>1993</v>
      </c>
      <c r="D19" s="10">
        <v>61</v>
      </c>
      <c r="E19" s="10">
        <v>60</v>
      </c>
      <c r="F19" s="10">
        <v>15</v>
      </c>
      <c r="G19" s="10">
        <v>25</v>
      </c>
      <c r="H19" s="10">
        <v>40</v>
      </c>
      <c r="I19" s="10">
        <v>4000</v>
      </c>
      <c r="J19" s="11">
        <v>2</v>
      </c>
    </row>
    <row r="20" spans="1:10" x14ac:dyDescent="0.35">
      <c r="A20" s="17">
        <v>8</v>
      </c>
      <c r="B20" s="10" t="s">
        <v>31</v>
      </c>
      <c r="C20" s="10">
        <v>1993</v>
      </c>
      <c r="D20" s="10">
        <v>48</v>
      </c>
      <c r="E20" s="10">
        <v>68</v>
      </c>
      <c r="F20" s="10">
        <v>13</v>
      </c>
      <c r="G20" s="10">
        <v>19</v>
      </c>
      <c r="H20" s="10">
        <v>32</v>
      </c>
      <c r="I20" s="10">
        <v>1307</v>
      </c>
      <c r="J20" s="11">
        <v>2</v>
      </c>
    </row>
    <row r="21" spans="1:10" x14ac:dyDescent="0.35">
      <c r="A21" s="17">
        <v>8</v>
      </c>
      <c r="B21" s="10" t="s">
        <v>31</v>
      </c>
      <c r="C21" s="10">
        <v>1993</v>
      </c>
      <c r="D21" s="10" t="s">
        <v>0</v>
      </c>
      <c r="E21" s="10">
        <v>56</v>
      </c>
      <c r="F21" s="10">
        <v>22</v>
      </c>
      <c r="G21" s="10">
        <v>22</v>
      </c>
      <c r="H21" s="10">
        <v>44</v>
      </c>
      <c r="I21" s="10">
        <v>1211</v>
      </c>
      <c r="J21" s="11">
        <v>2</v>
      </c>
    </row>
    <row r="22" spans="1:10" x14ac:dyDescent="0.35">
      <c r="A22" s="17">
        <v>8</v>
      </c>
      <c r="B22" s="10" t="s">
        <v>66</v>
      </c>
      <c r="C22" s="10">
        <v>1992</v>
      </c>
      <c r="D22" s="10">
        <v>36</v>
      </c>
      <c r="E22" s="10">
        <v>47</v>
      </c>
      <c r="F22" s="10">
        <v>14</v>
      </c>
      <c r="G22" s="10">
        <v>39</v>
      </c>
      <c r="H22" s="10">
        <v>53</v>
      </c>
      <c r="I22" s="10">
        <v>3095</v>
      </c>
      <c r="J22" s="11">
        <v>25</v>
      </c>
    </row>
    <row r="23" spans="1:10" x14ac:dyDescent="0.35">
      <c r="A23" s="17">
        <v>8</v>
      </c>
      <c r="B23" s="10" t="s">
        <v>66</v>
      </c>
      <c r="C23" s="10">
        <v>1992</v>
      </c>
      <c r="D23" s="10">
        <v>46</v>
      </c>
      <c r="E23" s="10">
        <v>75</v>
      </c>
      <c r="F23" s="10">
        <v>0</v>
      </c>
      <c r="G23" s="10">
        <v>25</v>
      </c>
      <c r="H23" s="10">
        <v>25</v>
      </c>
      <c r="I23" s="10">
        <v>3770</v>
      </c>
      <c r="J23" s="11">
        <v>25</v>
      </c>
    </row>
    <row r="24" spans="1:10" x14ac:dyDescent="0.35">
      <c r="A24" s="17">
        <v>10</v>
      </c>
      <c r="B24" s="10" t="s">
        <v>31</v>
      </c>
      <c r="C24" s="10">
        <v>1993</v>
      </c>
      <c r="D24" s="10">
        <v>47</v>
      </c>
      <c r="E24" s="10">
        <v>67</v>
      </c>
      <c r="F24" s="10">
        <v>11</v>
      </c>
      <c r="G24" s="10">
        <v>22</v>
      </c>
      <c r="H24" s="10">
        <v>33</v>
      </c>
      <c r="I24" s="10">
        <v>1105</v>
      </c>
      <c r="J24" s="11">
        <v>2</v>
      </c>
    </row>
    <row r="25" spans="1:10" x14ac:dyDescent="0.35">
      <c r="A25" s="17">
        <v>10</v>
      </c>
      <c r="B25" s="10" t="s">
        <v>31</v>
      </c>
      <c r="C25" s="10">
        <v>1993</v>
      </c>
      <c r="D25" s="10" t="s">
        <v>0</v>
      </c>
      <c r="E25" s="10">
        <v>46</v>
      </c>
      <c r="F25" s="10">
        <v>42</v>
      </c>
      <c r="G25" s="10">
        <v>12</v>
      </c>
      <c r="H25" s="10">
        <v>54</v>
      </c>
      <c r="I25" s="10">
        <v>1211</v>
      </c>
      <c r="J25" s="11">
        <v>2</v>
      </c>
    </row>
    <row r="26" spans="1:10" x14ac:dyDescent="0.35">
      <c r="A26" s="17">
        <v>12</v>
      </c>
      <c r="B26" s="10" t="s">
        <v>66</v>
      </c>
      <c r="C26" s="10">
        <v>1992</v>
      </c>
      <c r="D26" s="10">
        <v>36</v>
      </c>
      <c r="E26" s="10">
        <v>61</v>
      </c>
      <c r="F26" s="10">
        <v>8</v>
      </c>
      <c r="G26" s="10">
        <v>31</v>
      </c>
      <c r="H26" s="10">
        <v>39</v>
      </c>
      <c r="I26" s="10">
        <v>3480</v>
      </c>
      <c r="J26" s="11">
        <v>25</v>
      </c>
    </row>
    <row r="27" spans="1:10" ht="15" thickBot="1" x14ac:dyDescent="0.4">
      <c r="A27" s="7"/>
      <c r="B27" s="12"/>
      <c r="C27" s="8"/>
      <c r="D27" s="8"/>
      <c r="E27" s="12"/>
      <c r="F27" s="8"/>
      <c r="G27" s="8"/>
      <c r="H27" s="8"/>
      <c r="I27" s="12"/>
      <c r="J27" s="13"/>
    </row>
  </sheetData>
  <mergeCells count="16">
    <mergeCell ref="B7:J7"/>
    <mergeCell ref="A1:J2"/>
    <mergeCell ref="A3:J3"/>
    <mergeCell ref="A4:J4"/>
    <mergeCell ref="B5:J5"/>
    <mergeCell ref="B6:J6"/>
    <mergeCell ref="B8:J8"/>
    <mergeCell ref="B9:J9"/>
    <mergeCell ref="B10:J10"/>
    <mergeCell ref="B11:J11"/>
    <mergeCell ref="B13:B14"/>
    <mergeCell ref="C13:C14"/>
    <mergeCell ref="D13:D14"/>
    <mergeCell ref="E13:E14"/>
    <mergeCell ref="F13:H13"/>
    <mergeCell ref="I13:I14"/>
  </mergeCells>
  <pageMargins left="0.7" right="0.7" top="0.75" bottom="0.75" header="0.3" footer="0.3"/>
  <pageSetup orientation="landscape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63D8E-B4A1-4D5B-83A9-D7F7D0B05A69}">
  <sheetPr>
    <tabColor rgb="FFFFFF00"/>
  </sheetPr>
  <dimension ref="A1:J32"/>
  <sheetViews>
    <sheetView zoomScale="130" zoomScaleNormal="130" workbookViewId="0">
      <selection activeCell="A4" sqref="A4:K4"/>
    </sheetView>
  </sheetViews>
  <sheetFormatPr defaultColWidth="9.1796875" defaultRowHeight="14.5" x14ac:dyDescent="0.35"/>
  <cols>
    <col min="1" max="1" width="21.81640625" customWidth="1"/>
    <col min="2" max="2" width="14.26953125" style="1" bestFit="1" customWidth="1"/>
    <col min="3" max="3" width="8.1796875" style="1" customWidth="1"/>
    <col min="4" max="4" width="10.54296875" style="1" customWidth="1"/>
    <col min="5" max="5" width="9.54296875" style="1" customWidth="1"/>
    <col min="6" max="6" width="12.1796875" style="1" customWidth="1"/>
    <col min="7" max="7" width="12.54296875" style="1" customWidth="1"/>
    <col min="8" max="8" width="8.81640625" style="1" bestFit="1" customWidth="1"/>
    <col min="9" max="9" width="14.1796875" style="1" customWidth="1"/>
    <col min="10" max="10" width="7" style="1" bestFit="1" customWidth="1"/>
  </cols>
  <sheetData>
    <row r="1" spans="1:10" x14ac:dyDescent="0.35">
      <c r="A1" s="66" t="s">
        <v>16</v>
      </c>
      <c r="B1" s="67"/>
      <c r="C1" s="67"/>
      <c r="D1" s="67"/>
      <c r="E1" s="67"/>
      <c r="F1" s="67"/>
      <c r="G1" s="67"/>
      <c r="H1" s="67"/>
      <c r="I1" s="67"/>
      <c r="J1" s="68"/>
    </row>
    <row r="2" spans="1:10" x14ac:dyDescent="0.35">
      <c r="A2" s="69"/>
      <c r="B2" s="70"/>
      <c r="C2" s="70"/>
      <c r="D2" s="70"/>
      <c r="E2" s="70"/>
      <c r="F2" s="70"/>
      <c r="G2" s="70"/>
      <c r="H2" s="70"/>
      <c r="I2" s="70"/>
      <c r="J2" s="71"/>
    </row>
    <row r="3" spans="1:10" x14ac:dyDescent="0.35">
      <c r="A3" s="72" t="s">
        <v>136</v>
      </c>
      <c r="B3" s="73"/>
      <c r="C3" s="73"/>
      <c r="D3" s="73"/>
      <c r="E3" s="73"/>
      <c r="F3" s="73"/>
      <c r="G3" s="73"/>
      <c r="H3" s="73"/>
      <c r="I3" s="73"/>
      <c r="J3" s="74"/>
    </row>
    <row r="4" spans="1:10" x14ac:dyDescent="0.35">
      <c r="A4" s="81"/>
      <c r="B4" s="76"/>
      <c r="C4" s="76"/>
      <c r="D4" s="76"/>
      <c r="E4" s="76"/>
      <c r="F4" s="76"/>
      <c r="G4" s="76"/>
      <c r="H4" s="76"/>
      <c r="I4" s="76"/>
      <c r="J4" s="77"/>
    </row>
    <row r="5" spans="1:10" x14ac:dyDescent="0.35">
      <c r="A5" s="2" t="s">
        <v>11</v>
      </c>
      <c r="B5" s="73">
        <v>944</v>
      </c>
      <c r="C5" s="73"/>
      <c r="D5" s="73"/>
      <c r="E5" s="73"/>
      <c r="F5" s="73"/>
      <c r="G5" s="73"/>
      <c r="H5" s="73"/>
      <c r="I5" s="73"/>
      <c r="J5" s="74"/>
    </row>
    <row r="6" spans="1:10" x14ac:dyDescent="0.35">
      <c r="A6" s="3" t="s">
        <v>12</v>
      </c>
      <c r="B6" s="73" t="s">
        <v>59</v>
      </c>
      <c r="C6" s="73"/>
      <c r="D6" s="73"/>
      <c r="E6" s="73"/>
      <c r="F6" s="73"/>
      <c r="G6" s="73"/>
      <c r="H6" s="73"/>
      <c r="I6" s="73"/>
      <c r="J6" s="74"/>
    </row>
    <row r="7" spans="1:10" x14ac:dyDescent="0.35">
      <c r="A7" s="3" t="s">
        <v>13</v>
      </c>
      <c r="B7" s="73" t="s">
        <v>14</v>
      </c>
      <c r="C7" s="73"/>
      <c r="D7" s="73"/>
      <c r="E7" s="73"/>
      <c r="F7" s="73"/>
      <c r="G7" s="73"/>
      <c r="H7" s="73"/>
      <c r="I7" s="73"/>
      <c r="J7" s="74"/>
    </row>
    <row r="8" spans="1:10" x14ac:dyDescent="0.35">
      <c r="A8" s="3" t="s">
        <v>1</v>
      </c>
      <c r="B8" s="73" t="s">
        <v>17</v>
      </c>
      <c r="C8" s="73"/>
      <c r="D8" s="73"/>
      <c r="E8" s="73"/>
      <c r="F8" s="73"/>
      <c r="G8" s="73"/>
      <c r="H8" s="73"/>
      <c r="I8" s="73"/>
      <c r="J8" s="74"/>
    </row>
    <row r="9" spans="1:10" x14ac:dyDescent="0.35">
      <c r="A9" s="3" t="s">
        <v>15</v>
      </c>
      <c r="B9" s="73">
        <v>17</v>
      </c>
      <c r="C9" s="73"/>
      <c r="D9" s="73"/>
      <c r="E9" s="73"/>
      <c r="F9" s="73"/>
      <c r="G9" s="73"/>
      <c r="H9" s="73"/>
      <c r="I9" s="73"/>
      <c r="J9" s="74"/>
    </row>
    <row r="10" spans="1:10" x14ac:dyDescent="0.35">
      <c r="A10" s="9" t="s">
        <v>18</v>
      </c>
      <c r="B10" s="88">
        <v>0.56999999999999995</v>
      </c>
      <c r="C10" s="88"/>
      <c r="D10" s="88"/>
      <c r="E10" s="88"/>
      <c r="F10" s="88"/>
      <c r="G10" s="88"/>
      <c r="H10" s="88"/>
      <c r="I10" s="89"/>
      <c r="J10" s="90"/>
    </row>
    <row r="11" spans="1:10" x14ac:dyDescent="0.35">
      <c r="A11" s="4"/>
      <c r="B11" s="75" t="s">
        <v>21</v>
      </c>
      <c r="C11" s="76"/>
      <c r="D11" s="76"/>
      <c r="E11" s="76"/>
      <c r="F11" s="76"/>
      <c r="G11" s="76"/>
      <c r="H11" s="76"/>
      <c r="I11" s="76"/>
      <c r="J11" s="77"/>
    </row>
    <row r="12" spans="1:10" x14ac:dyDescent="0.35">
      <c r="A12" s="4"/>
      <c r="B12" s="14"/>
      <c r="C12" s="15"/>
      <c r="D12" s="15"/>
      <c r="F12" s="15"/>
      <c r="G12" s="15"/>
      <c r="H12" s="15"/>
      <c r="I12" s="18"/>
      <c r="J12" s="16"/>
    </row>
    <row r="13" spans="1:10" x14ac:dyDescent="0.35">
      <c r="A13" s="4"/>
      <c r="B13" s="91" t="s">
        <v>24</v>
      </c>
      <c r="C13" s="91" t="s">
        <v>19</v>
      </c>
      <c r="D13" s="91" t="s">
        <v>20</v>
      </c>
      <c r="E13" s="91" t="s">
        <v>2</v>
      </c>
      <c r="F13" s="76" t="s">
        <v>22</v>
      </c>
      <c r="G13" s="76"/>
      <c r="H13" s="76"/>
      <c r="I13" s="91" t="s">
        <v>70</v>
      </c>
      <c r="J13" s="16"/>
    </row>
    <row r="14" spans="1:10" x14ac:dyDescent="0.35">
      <c r="A14" s="17" t="s">
        <v>4</v>
      </c>
      <c r="B14" s="91"/>
      <c r="C14" s="91"/>
      <c r="D14" s="91"/>
      <c r="E14" s="91"/>
      <c r="F14" s="22" t="s">
        <v>25</v>
      </c>
      <c r="G14" s="5" t="s">
        <v>26</v>
      </c>
      <c r="H14" s="14" t="s">
        <v>23</v>
      </c>
      <c r="I14" s="91"/>
      <c r="J14" s="16" t="s">
        <v>3</v>
      </c>
    </row>
    <row r="15" spans="1:10" x14ac:dyDescent="0.35">
      <c r="A15" s="17">
        <v>6</v>
      </c>
      <c r="B15" s="10" t="s">
        <v>66</v>
      </c>
      <c r="C15" s="10">
        <v>1992</v>
      </c>
      <c r="D15" s="10">
        <v>18</v>
      </c>
      <c r="E15" s="10">
        <v>61</v>
      </c>
      <c r="F15" s="10">
        <v>6</v>
      </c>
      <c r="G15" s="10">
        <v>33</v>
      </c>
      <c r="H15" s="10">
        <v>39</v>
      </c>
      <c r="I15" s="10">
        <v>2510</v>
      </c>
      <c r="J15" s="11">
        <v>25</v>
      </c>
    </row>
    <row r="16" spans="1:10" x14ac:dyDescent="0.35">
      <c r="A16" s="17">
        <v>6</v>
      </c>
      <c r="B16" s="10" t="s">
        <v>66</v>
      </c>
      <c r="C16" s="10">
        <v>1992</v>
      </c>
      <c r="D16" s="10">
        <v>26</v>
      </c>
      <c r="E16" s="10">
        <v>58</v>
      </c>
      <c r="F16" s="10">
        <v>11</v>
      </c>
      <c r="G16" s="10">
        <v>31</v>
      </c>
      <c r="H16" s="10">
        <v>42</v>
      </c>
      <c r="I16" s="10">
        <v>1020</v>
      </c>
      <c r="J16" s="11">
        <v>25</v>
      </c>
    </row>
    <row r="17" spans="1:10" x14ac:dyDescent="0.35">
      <c r="A17" s="17">
        <v>8</v>
      </c>
      <c r="B17" s="10" t="s">
        <v>66</v>
      </c>
      <c r="C17" s="10">
        <v>1992</v>
      </c>
      <c r="D17" s="10">
        <v>47</v>
      </c>
      <c r="E17" s="10">
        <v>62</v>
      </c>
      <c r="F17" s="10">
        <v>23</v>
      </c>
      <c r="G17" s="10">
        <v>15</v>
      </c>
      <c r="H17" s="10">
        <v>38</v>
      </c>
      <c r="I17" s="10">
        <v>2635</v>
      </c>
      <c r="J17" s="11">
        <v>25</v>
      </c>
    </row>
    <row r="18" spans="1:10" x14ac:dyDescent="0.35">
      <c r="A18" s="17">
        <v>8</v>
      </c>
      <c r="B18" s="10" t="s">
        <v>31</v>
      </c>
      <c r="C18" s="10">
        <v>1993</v>
      </c>
      <c r="D18" s="10">
        <v>83</v>
      </c>
      <c r="E18" s="10">
        <v>52</v>
      </c>
      <c r="F18" s="10">
        <v>8</v>
      </c>
      <c r="G18" s="10">
        <v>40</v>
      </c>
      <c r="H18" s="10">
        <v>48</v>
      </c>
      <c r="I18" s="10">
        <v>4965</v>
      </c>
      <c r="J18" s="11">
        <v>2</v>
      </c>
    </row>
    <row r="19" spans="1:10" x14ac:dyDescent="0.35">
      <c r="A19" s="17">
        <v>8</v>
      </c>
      <c r="B19" s="10" t="s">
        <v>31</v>
      </c>
      <c r="C19" s="10">
        <v>1993</v>
      </c>
      <c r="D19" s="10">
        <v>60</v>
      </c>
      <c r="E19" s="10">
        <v>53</v>
      </c>
      <c r="F19" s="10">
        <v>20</v>
      </c>
      <c r="G19" s="10">
        <v>27</v>
      </c>
      <c r="H19" s="10">
        <v>47</v>
      </c>
      <c r="I19" s="10">
        <v>1491</v>
      </c>
      <c r="J19" s="11">
        <v>2</v>
      </c>
    </row>
    <row r="20" spans="1:10" x14ac:dyDescent="0.35">
      <c r="A20" s="17">
        <v>8</v>
      </c>
      <c r="B20" s="10" t="s">
        <v>31</v>
      </c>
      <c r="C20" s="10">
        <v>1993</v>
      </c>
      <c r="D20" s="10" t="s">
        <v>0</v>
      </c>
      <c r="E20" s="10">
        <v>72</v>
      </c>
      <c r="F20" s="10">
        <v>7</v>
      </c>
      <c r="G20" s="10">
        <v>21</v>
      </c>
      <c r="H20" s="10">
        <v>28</v>
      </c>
      <c r="I20" s="10">
        <v>2657</v>
      </c>
      <c r="J20" s="11">
        <v>2</v>
      </c>
    </row>
    <row r="21" spans="1:10" x14ac:dyDescent="0.35">
      <c r="A21" s="17">
        <v>8</v>
      </c>
      <c r="B21" s="10" t="s">
        <v>66</v>
      </c>
      <c r="C21" s="10">
        <v>1992</v>
      </c>
      <c r="D21" s="10">
        <v>36</v>
      </c>
      <c r="E21" s="10">
        <v>67</v>
      </c>
      <c r="F21" s="10">
        <v>14</v>
      </c>
      <c r="G21" s="10">
        <v>19</v>
      </c>
      <c r="H21" s="10">
        <v>33</v>
      </c>
      <c r="I21" s="10">
        <v>3095</v>
      </c>
      <c r="J21" s="11">
        <v>25</v>
      </c>
    </row>
    <row r="22" spans="1:10" x14ac:dyDescent="0.35">
      <c r="A22" s="17">
        <v>8</v>
      </c>
      <c r="B22" s="10" t="s">
        <v>66</v>
      </c>
      <c r="C22" s="10">
        <v>1992</v>
      </c>
      <c r="D22" s="10">
        <v>46</v>
      </c>
      <c r="E22" s="10">
        <v>46</v>
      </c>
      <c r="F22" s="10">
        <v>11</v>
      </c>
      <c r="G22" s="10">
        <v>43</v>
      </c>
      <c r="H22" s="10">
        <v>54</v>
      </c>
      <c r="I22" s="10">
        <v>3770</v>
      </c>
      <c r="J22" s="11">
        <v>25</v>
      </c>
    </row>
    <row r="23" spans="1:10" x14ac:dyDescent="0.35">
      <c r="A23" s="17">
        <v>8</v>
      </c>
      <c r="B23" s="10" t="s">
        <v>66</v>
      </c>
      <c r="C23" s="10">
        <v>1992</v>
      </c>
      <c r="D23" s="10">
        <v>35</v>
      </c>
      <c r="E23" s="10">
        <v>54</v>
      </c>
      <c r="F23" s="10">
        <v>3</v>
      </c>
      <c r="G23" s="10">
        <v>43</v>
      </c>
      <c r="H23" s="10">
        <v>46</v>
      </c>
      <c r="I23" s="10">
        <v>7080</v>
      </c>
      <c r="J23" s="11">
        <v>25</v>
      </c>
    </row>
    <row r="24" spans="1:10" x14ac:dyDescent="0.35">
      <c r="A24" s="17">
        <v>10</v>
      </c>
      <c r="B24" s="10" t="s">
        <v>31</v>
      </c>
      <c r="C24" s="10">
        <v>1993</v>
      </c>
      <c r="D24" s="10" t="s">
        <v>0</v>
      </c>
      <c r="E24" s="10">
        <v>57</v>
      </c>
      <c r="F24" s="10">
        <v>19</v>
      </c>
      <c r="G24" s="10">
        <v>24</v>
      </c>
      <c r="H24" s="10">
        <v>43</v>
      </c>
      <c r="I24" s="10">
        <v>1812</v>
      </c>
      <c r="J24" s="11">
        <v>2</v>
      </c>
    </row>
    <row r="25" spans="1:10" x14ac:dyDescent="0.35">
      <c r="A25" s="17">
        <v>10</v>
      </c>
      <c r="B25" s="10" t="s">
        <v>31</v>
      </c>
      <c r="C25" s="10">
        <v>1993</v>
      </c>
      <c r="D25" s="10" t="s">
        <v>0</v>
      </c>
      <c r="E25" s="10">
        <v>55</v>
      </c>
      <c r="F25" s="10">
        <v>16</v>
      </c>
      <c r="G25" s="10">
        <v>29</v>
      </c>
      <c r="H25" s="10">
        <v>45</v>
      </c>
      <c r="I25" s="10">
        <v>2657</v>
      </c>
      <c r="J25" s="11">
        <v>2</v>
      </c>
    </row>
    <row r="26" spans="1:10" x14ac:dyDescent="0.35">
      <c r="A26" s="17">
        <v>12</v>
      </c>
      <c r="B26" s="10" t="s">
        <v>66</v>
      </c>
      <c r="C26" s="10">
        <v>1992</v>
      </c>
      <c r="D26" s="10">
        <v>52</v>
      </c>
      <c r="E26" s="10">
        <v>38</v>
      </c>
      <c r="F26" s="10">
        <v>10</v>
      </c>
      <c r="G26" s="10">
        <v>52</v>
      </c>
      <c r="H26" s="10">
        <v>62</v>
      </c>
      <c r="I26" s="10">
        <v>3835</v>
      </c>
      <c r="J26" s="11">
        <v>25</v>
      </c>
    </row>
    <row r="27" spans="1:10" x14ac:dyDescent="0.35">
      <c r="A27" s="17">
        <v>12</v>
      </c>
      <c r="B27" s="10" t="s">
        <v>35</v>
      </c>
      <c r="C27" s="10">
        <v>2009</v>
      </c>
      <c r="D27" s="10" t="s">
        <v>0</v>
      </c>
      <c r="E27" s="10">
        <v>66</v>
      </c>
      <c r="F27" s="10" t="s">
        <v>0</v>
      </c>
      <c r="G27" s="10" t="s">
        <v>0</v>
      </c>
      <c r="H27" s="10">
        <v>34</v>
      </c>
      <c r="I27" s="10" t="s">
        <v>0</v>
      </c>
      <c r="J27" s="11">
        <v>19</v>
      </c>
    </row>
    <row r="28" spans="1:10" x14ac:dyDescent="0.35">
      <c r="A28" s="17">
        <v>12</v>
      </c>
      <c r="B28" s="10" t="s">
        <v>35</v>
      </c>
      <c r="C28" s="10">
        <v>2009</v>
      </c>
      <c r="D28" s="10" t="s">
        <v>0</v>
      </c>
      <c r="E28" s="10">
        <v>51</v>
      </c>
      <c r="F28" s="10" t="s">
        <v>0</v>
      </c>
      <c r="G28" s="10" t="s">
        <v>0</v>
      </c>
      <c r="H28" s="10">
        <v>49</v>
      </c>
      <c r="I28" s="10" t="s">
        <v>0</v>
      </c>
      <c r="J28" s="11">
        <v>19</v>
      </c>
    </row>
    <row r="29" spans="1:10" x14ac:dyDescent="0.35">
      <c r="A29" s="17">
        <v>12</v>
      </c>
      <c r="B29" s="10" t="s">
        <v>35</v>
      </c>
      <c r="C29" s="10">
        <v>2009</v>
      </c>
      <c r="D29" s="10" t="s">
        <v>0</v>
      </c>
      <c r="E29" s="10">
        <v>40</v>
      </c>
      <c r="F29" s="10" t="s">
        <v>0</v>
      </c>
      <c r="G29" s="10" t="s">
        <v>0</v>
      </c>
      <c r="H29" s="10">
        <v>60</v>
      </c>
      <c r="I29" s="10" t="s">
        <v>0</v>
      </c>
      <c r="J29" s="11">
        <v>19</v>
      </c>
    </row>
    <row r="30" spans="1:10" x14ac:dyDescent="0.35">
      <c r="A30" s="17">
        <v>12</v>
      </c>
      <c r="B30" s="10" t="s">
        <v>35</v>
      </c>
      <c r="C30" s="10">
        <v>2009</v>
      </c>
      <c r="D30" s="10" t="s">
        <v>0</v>
      </c>
      <c r="E30" s="10">
        <v>61</v>
      </c>
      <c r="F30" s="10" t="s">
        <v>0</v>
      </c>
      <c r="G30" s="10" t="s">
        <v>0</v>
      </c>
      <c r="H30" s="10">
        <v>39</v>
      </c>
      <c r="I30" s="10" t="s">
        <v>0</v>
      </c>
      <c r="J30" s="11">
        <v>19</v>
      </c>
    </row>
    <row r="31" spans="1:10" x14ac:dyDescent="0.35">
      <c r="A31" s="17">
        <v>12</v>
      </c>
      <c r="B31" s="10" t="s">
        <v>63</v>
      </c>
      <c r="C31" s="10">
        <v>2009</v>
      </c>
      <c r="D31" s="10" t="s">
        <v>0</v>
      </c>
      <c r="E31" s="10">
        <v>73</v>
      </c>
      <c r="F31" s="10" t="s">
        <v>0</v>
      </c>
      <c r="G31" s="10" t="s">
        <v>0</v>
      </c>
      <c r="H31" s="10">
        <v>27</v>
      </c>
      <c r="I31" s="10" t="s">
        <v>0</v>
      </c>
      <c r="J31" s="11">
        <v>19</v>
      </c>
    </row>
    <row r="32" spans="1:10" ht="15" thickBot="1" x14ac:dyDescent="0.4">
      <c r="A32" s="7"/>
      <c r="B32" s="12"/>
      <c r="C32" s="8"/>
      <c r="D32" s="8"/>
      <c r="E32" s="12"/>
      <c r="F32" s="8"/>
      <c r="G32" s="8"/>
      <c r="H32" s="8"/>
      <c r="I32" s="12"/>
      <c r="J32" s="13"/>
    </row>
  </sheetData>
  <mergeCells count="16">
    <mergeCell ref="B7:J7"/>
    <mergeCell ref="A1:J2"/>
    <mergeCell ref="A3:J3"/>
    <mergeCell ref="A4:J4"/>
    <mergeCell ref="B5:J5"/>
    <mergeCell ref="B6:J6"/>
    <mergeCell ref="B8:J8"/>
    <mergeCell ref="B9:J9"/>
    <mergeCell ref="B10:J10"/>
    <mergeCell ref="B11:J11"/>
    <mergeCell ref="B13:B14"/>
    <mergeCell ref="C13:C14"/>
    <mergeCell ref="D13:D14"/>
    <mergeCell ref="E13:E14"/>
    <mergeCell ref="F13:H13"/>
    <mergeCell ref="I13:I14"/>
  </mergeCells>
  <pageMargins left="0.7" right="0.7" top="0.75" bottom="0.75" header="0.3" footer="0.3"/>
  <pageSetup orientation="landscape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8FE01-ABDA-4F70-BC96-4BC879F8BE39}">
  <sheetPr>
    <tabColor rgb="FFFFFF00"/>
  </sheetPr>
  <dimension ref="A1:J20"/>
  <sheetViews>
    <sheetView zoomScale="130" zoomScaleNormal="130" workbookViewId="0">
      <selection activeCell="B9" sqref="B9:J9"/>
    </sheetView>
  </sheetViews>
  <sheetFormatPr defaultColWidth="9.1796875" defaultRowHeight="14.5" x14ac:dyDescent="0.35"/>
  <cols>
    <col min="1" max="1" width="21.81640625" customWidth="1"/>
    <col min="2" max="2" width="14.26953125" style="1" bestFit="1" customWidth="1"/>
    <col min="3" max="3" width="8.1796875" style="1" customWidth="1"/>
    <col min="4" max="4" width="10.54296875" style="1" customWidth="1"/>
    <col min="5" max="5" width="9.54296875" style="1" customWidth="1"/>
    <col min="6" max="6" width="12.1796875" style="1" customWidth="1"/>
    <col min="7" max="7" width="12.54296875" style="1" customWidth="1"/>
    <col min="8" max="8" width="8.81640625" style="1" bestFit="1" customWidth="1"/>
    <col min="9" max="9" width="14.1796875" style="1" customWidth="1"/>
    <col min="10" max="10" width="7" style="1" bestFit="1" customWidth="1"/>
  </cols>
  <sheetData>
    <row r="1" spans="1:10" x14ac:dyDescent="0.35">
      <c r="A1" s="66" t="s">
        <v>16</v>
      </c>
      <c r="B1" s="67"/>
      <c r="C1" s="67"/>
      <c r="D1" s="67"/>
      <c r="E1" s="67"/>
      <c r="F1" s="67"/>
      <c r="G1" s="67"/>
      <c r="H1" s="67"/>
      <c r="I1" s="67"/>
      <c r="J1" s="68"/>
    </row>
    <row r="2" spans="1:10" x14ac:dyDescent="0.35">
      <c r="A2" s="69"/>
      <c r="B2" s="70"/>
      <c r="C2" s="70"/>
      <c r="D2" s="70"/>
      <c r="E2" s="70"/>
      <c r="F2" s="70"/>
      <c r="G2" s="70"/>
      <c r="H2" s="70"/>
      <c r="I2" s="70"/>
      <c r="J2" s="71"/>
    </row>
    <row r="3" spans="1:10" x14ac:dyDescent="0.35">
      <c r="A3" s="72" t="s">
        <v>136</v>
      </c>
      <c r="B3" s="73"/>
      <c r="C3" s="73"/>
      <c r="D3" s="73"/>
      <c r="E3" s="73"/>
      <c r="F3" s="73"/>
      <c r="G3" s="73"/>
      <c r="H3" s="73"/>
      <c r="I3" s="73"/>
      <c r="J3" s="74"/>
    </row>
    <row r="4" spans="1:10" x14ac:dyDescent="0.35">
      <c r="A4" s="81"/>
      <c r="B4" s="76"/>
      <c r="C4" s="76"/>
      <c r="D4" s="76"/>
      <c r="E4" s="76"/>
      <c r="F4" s="76"/>
      <c r="G4" s="76"/>
      <c r="H4" s="76"/>
      <c r="I4" s="76"/>
      <c r="J4" s="77"/>
    </row>
    <row r="5" spans="1:10" x14ac:dyDescent="0.35">
      <c r="A5" s="2" t="s">
        <v>11</v>
      </c>
      <c r="B5" s="73">
        <v>944</v>
      </c>
      <c r="C5" s="73"/>
      <c r="D5" s="73"/>
      <c r="E5" s="73"/>
      <c r="F5" s="73"/>
      <c r="G5" s="73"/>
      <c r="H5" s="73"/>
      <c r="I5" s="73"/>
      <c r="J5" s="74"/>
    </row>
    <row r="6" spans="1:10" x14ac:dyDescent="0.35">
      <c r="A6" s="3" t="s">
        <v>12</v>
      </c>
      <c r="B6" s="73" t="s">
        <v>59</v>
      </c>
      <c r="C6" s="73"/>
      <c r="D6" s="73"/>
      <c r="E6" s="73"/>
      <c r="F6" s="73"/>
      <c r="G6" s="73"/>
      <c r="H6" s="73"/>
      <c r="I6" s="73"/>
      <c r="J6" s="74"/>
    </row>
    <row r="7" spans="1:10" x14ac:dyDescent="0.35">
      <c r="A7" s="3" t="s">
        <v>13</v>
      </c>
      <c r="B7" s="73" t="s">
        <v>14</v>
      </c>
      <c r="C7" s="73"/>
      <c r="D7" s="73"/>
      <c r="E7" s="73"/>
      <c r="F7" s="73"/>
      <c r="G7" s="73"/>
      <c r="H7" s="73"/>
      <c r="I7" s="73"/>
      <c r="J7" s="74"/>
    </row>
    <row r="8" spans="1:10" x14ac:dyDescent="0.35">
      <c r="A8" s="3" t="s">
        <v>1</v>
      </c>
      <c r="B8" s="73" t="s">
        <v>7</v>
      </c>
      <c r="C8" s="73"/>
      <c r="D8" s="73"/>
      <c r="E8" s="73"/>
      <c r="F8" s="73"/>
      <c r="G8" s="73"/>
      <c r="H8" s="73"/>
      <c r="I8" s="73"/>
      <c r="J8" s="74"/>
    </row>
    <row r="9" spans="1:10" x14ac:dyDescent="0.35">
      <c r="A9" s="3" t="s">
        <v>15</v>
      </c>
      <c r="B9" s="73">
        <v>5</v>
      </c>
      <c r="C9" s="73"/>
      <c r="D9" s="73"/>
      <c r="E9" s="73"/>
      <c r="F9" s="73"/>
      <c r="G9" s="73"/>
      <c r="H9" s="73"/>
      <c r="I9" s="73"/>
      <c r="J9" s="74"/>
    </row>
    <row r="10" spans="1:10" x14ac:dyDescent="0.35">
      <c r="A10" s="9" t="s">
        <v>18</v>
      </c>
      <c r="B10" s="88">
        <v>0.49</v>
      </c>
      <c r="C10" s="88"/>
      <c r="D10" s="88"/>
      <c r="E10" s="88"/>
      <c r="F10" s="88"/>
      <c r="G10" s="88"/>
      <c r="H10" s="88"/>
      <c r="I10" s="89"/>
      <c r="J10" s="90"/>
    </row>
    <row r="11" spans="1:10" x14ac:dyDescent="0.35">
      <c r="A11" s="4"/>
      <c r="B11" s="75" t="s">
        <v>21</v>
      </c>
      <c r="C11" s="76"/>
      <c r="D11" s="76"/>
      <c r="E11" s="76"/>
      <c r="F11" s="76"/>
      <c r="G11" s="76"/>
      <c r="H11" s="76"/>
      <c r="I11" s="76"/>
      <c r="J11" s="77"/>
    </row>
    <row r="12" spans="1:10" x14ac:dyDescent="0.35">
      <c r="A12" s="4"/>
      <c r="B12" s="14"/>
      <c r="C12" s="15"/>
      <c r="D12" s="15"/>
      <c r="F12" s="15"/>
      <c r="G12" s="15"/>
      <c r="H12" s="15"/>
      <c r="I12" s="18"/>
      <c r="J12" s="16"/>
    </row>
    <row r="13" spans="1:10" ht="15" customHeight="1" x14ac:dyDescent="0.35">
      <c r="A13" s="4"/>
      <c r="B13" s="91" t="s">
        <v>24</v>
      </c>
      <c r="C13" s="91" t="s">
        <v>19</v>
      </c>
      <c r="D13" s="91" t="s">
        <v>20</v>
      </c>
      <c r="E13" s="91" t="s">
        <v>2</v>
      </c>
      <c r="F13" s="76" t="s">
        <v>22</v>
      </c>
      <c r="G13" s="76"/>
      <c r="H13" s="76"/>
      <c r="I13" s="91" t="s">
        <v>70</v>
      </c>
      <c r="J13" s="16"/>
    </row>
    <row r="14" spans="1:10" x14ac:dyDescent="0.35">
      <c r="A14" s="17" t="s">
        <v>4</v>
      </c>
      <c r="B14" s="91"/>
      <c r="C14" s="91"/>
      <c r="D14" s="91"/>
      <c r="E14" s="91"/>
      <c r="F14" s="22" t="s">
        <v>25</v>
      </c>
      <c r="G14" s="5" t="s">
        <v>26</v>
      </c>
      <c r="H14" s="14" t="s">
        <v>23</v>
      </c>
      <c r="I14" s="91"/>
      <c r="J14" s="16" t="s">
        <v>3</v>
      </c>
    </row>
    <row r="15" spans="1:10" x14ac:dyDescent="0.35">
      <c r="A15" s="17">
        <v>12</v>
      </c>
      <c r="B15" s="10" t="s">
        <v>35</v>
      </c>
      <c r="C15" s="10">
        <v>2009</v>
      </c>
      <c r="D15" s="10" t="s">
        <v>0</v>
      </c>
      <c r="E15" s="10">
        <v>60</v>
      </c>
      <c r="F15" s="10" t="s">
        <v>0</v>
      </c>
      <c r="G15" s="10" t="s">
        <v>0</v>
      </c>
      <c r="H15" s="10">
        <v>40</v>
      </c>
      <c r="I15" s="10" t="s">
        <v>0</v>
      </c>
      <c r="J15" s="11">
        <v>19</v>
      </c>
    </row>
    <row r="16" spans="1:10" x14ac:dyDescent="0.35">
      <c r="A16" s="17">
        <v>12</v>
      </c>
      <c r="B16" s="10" t="s">
        <v>35</v>
      </c>
      <c r="C16" s="10">
        <v>2009</v>
      </c>
      <c r="D16" s="10" t="s">
        <v>0</v>
      </c>
      <c r="E16" s="10">
        <v>30</v>
      </c>
      <c r="F16" s="10" t="s">
        <v>0</v>
      </c>
      <c r="G16" s="10" t="s">
        <v>0</v>
      </c>
      <c r="H16" s="10">
        <v>70</v>
      </c>
      <c r="I16" s="10" t="s">
        <v>0</v>
      </c>
      <c r="J16" s="11">
        <v>19</v>
      </c>
    </row>
    <row r="17" spans="1:10" x14ac:dyDescent="0.35">
      <c r="A17" s="17">
        <v>12</v>
      </c>
      <c r="B17" s="10" t="s">
        <v>35</v>
      </c>
      <c r="C17" s="10">
        <v>2009</v>
      </c>
      <c r="D17" s="10" t="s">
        <v>0</v>
      </c>
      <c r="E17" s="10">
        <v>55</v>
      </c>
      <c r="F17" s="10" t="s">
        <v>0</v>
      </c>
      <c r="G17" s="10" t="s">
        <v>0</v>
      </c>
      <c r="H17" s="10">
        <v>45</v>
      </c>
      <c r="I17" s="10" t="s">
        <v>0</v>
      </c>
      <c r="J17" s="11">
        <v>19</v>
      </c>
    </row>
    <row r="18" spans="1:10" x14ac:dyDescent="0.35">
      <c r="A18" s="17">
        <v>12</v>
      </c>
      <c r="B18" s="10" t="s">
        <v>35</v>
      </c>
      <c r="C18" s="10">
        <v>2009</v>
      </c>
      <c r="D18" s="10" t="s">
        <v>0</v>
      </c>
      <c r="E18" s="10">
        <v>37</v>
      </c>
      <c r="F18" s="10" t="s">
        <v>0</v>
      </c>
      <c r="G18" s="10" t="s">
        <v>0</v>
      </c>
      <c r="H18" s="10">
        <v>63</v>
      </c>
      <c r="I18" s="10" t="s">
        <v>0</v>
      </c>
      <c r="J18" s="11">
        <v>19</v>
      </c>
    </row>
    <row r="19" spans="1:10" x14ac:dyDescent="0.35">
      <c r="A19" s="17">
        <v>12</v>
      </c>
      <c r="B19" s="10" t="s">
        <v>63</v>
      </c>
      <c r="C19" s="10">
        <v>2009</v>
      </c>
      <c r="D19" s="10" t="s">
        <v>0</v>
      </c>
      <c r="E19" s="10">
        <v>65</v>
      </c>
      <c r="F19" s="10" t="s">
        <v>0</v>
      </c>
      <c r="G19" s="10" t="s">
        <v>0</v>
      </c>
      <c r="H19" s="10">
        <v>35</v>
      </c>
      <c r="I19" s="10" t="s">
        <v>0</v>
      </c>
      <c r="J19" s="11">
        <v>19</v>
      </c>
    </row>
    <row r="20" spans="1:10" ht="15" thickBot="1" x14ac:dyDescent="0.4">
      <c r="A20" s="7"/>
      <c r="B20" s="12"/>
      <c r="C20" s="8"/>
      <c r="D20" s="8"/>
      <c r="E20" s="12"/>
      <c r="F20" s="8"/>
      <c r="G20" s="8"/>
      <c r="H20" s="8"/>
      <c r="I20" s="12"/>
      <c r="J20" s="13"/>
    </row>
  </sheetData>
  <mergeCells count="16">
    <mergeCell ref="B7:J7"/>
    <mergeCell ref="A1:J2"/>
    <mergeCell ref="A3:J3"/>
    <mergeCell ref="A4:J4"/>
    <mergeCell ref="B5:J5"/>
    <mergeCell ref="B6:J6"/>
    <mergeCell ref="B8:J8"/>
    <mergeCell ref="B9:J9"/>
    <mergeCell ref="B10:J10"/>
    <mergeCell ref="B11:J11"/>
    <mergeCell ref="B13:B14"/>
    <mergeCell ref="C13:C14"/>
    <mergeCell ref="D13:D14"/>
    <mergeCell ref="E13:E14"/>
    <mergeCell ref="F13:H13"/>
    <mergeCell ref="I13:I14"/>
  </mergeCells>
  <pageMargins left="0.7" right="0.7" top="0.75" bottom="0.75" header="0.3" footer="0.3"/>
  <pageSetup orientation="landscape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23217-1BB3-40E4-80EC-7422458BF23A}">
  <sheetPr>
    <tabColor rgb="FFFFFF00"/>
  </sheetPr>
  <dimension ref="A1:K59"/>
  <sheetViews>
    <sheetView zoomScale="130" zoomScaleNormal="130" workbookViewId="0">
      <selection activeCell="A4" sqref="A4:K4"/>
    </sheetView>
  </sheetViews>
  <sheetFormatPr defaultColWidth="9.1796875" defaultRowHeight="14.5" x14ac:dyDescent="0.35"/>
  <cols>
    <col min="1" max="1" width="20.1796875" bestFit="1" customWidth="1"/>
    <col min="2" max="2" width="13.54296875" customWidth="1"/>
    <col min="3" max="3" width="14.26953125" style="1" bestFit="1" customWidth="1"/>
    <col min="4" max="4" width="8.1796875" style="1" customWidth="1"/>
    <col min="5" max="5" width="10.54296875" style="1" customWidth="1"/>
    <col min="6" max="6" width="9.54296875" style="1" customWidth="1"/>
    <col min="7" max="7" width="12.1796875" style="1" customWidth="1"/>
    <col min="8" max="8" width="12.54296875" style="1" customWidth="1"/>
    <col min="9" max="9" width="8.81640625" style="1" bestFit="1" customWidth="1"/>
    <col min="10" max="10" width="14.1796875" style="1" customWidth="1"/>
    <col min="11" max="11" width="7" style="1" bestFit="1" customWidth="1"/>
  </cols>
  <sheetData>
    <row r="1" spans="1:11" x14ac:dyDescent="0.35">
      <c r="A1" s="66" t="s">
        <v>16</v>
      </c>
      <c r="B1" s="67"/>
      <c r="C1" s="67"/>
      <c r="D1" s="67"/>
      <c r="E1" s="67"/>
      <c r="F1" s="67"/>
      <c r="G1" s="67"/>
      <c r="H1" s="67"/>
      <c r="I1" s="67"/>
      <c r="J1" s="67"/>
      <c r="K1" s="68"/>
    </row>
    <row r="2" spans="1:11" x14ac:dyDescent="0.35">
      <c r="A2" s="69"/>
      <c r="B2" s="70"/>
      <c r="C2" s="70"/>
      <c r="D2" s="70"/>
      <c r="E2" s="70"/>
      <c r="F2" s="70"/>
      <c r="G2" s="70"/>
      <c r="H2" s="70"/>
      <c r="I2" s="70"/>
      <c r="J2" s="70"/>
      <c r="K2" s="71"/>
    </row>
    <row r="3" spans="1:11" x14ac:dyDescent="0.35">
      <c r="A3" s="72" t="s">
        <v>136</v>
      </c>
      <c r="B3" s="87"/>
      <c r="C3" s="73"/>
      <c r="D3" s="73"/>
      <c r="E3" s="73"/>
      <c r="F3" s="73"/>
      <c r="G3" s="73"/>
      <c r="H3" s="73"/>
      <c r="I3" s="73"/>
      <c r="J3" s="73"/>
      <c r="K3" s="74"/>
    </row>
    <row r="4" spans="1:11" x14ac:dyDescent="0.35">
      <c r="A4" s="81"/>
      <c r="B4" s="76"/>
      <c r="C4" s="76"/>
      <c r="D4" s="76"/>
      <c r="E4" s="76"/>
      <c r="F4" s="76"/>
      <c r="G4" s="76"/>
      <c r="H4" s="76"/>
      <c r="I4" s="76"/>
      <c r="J4" s="76"/>
      <c r="K4" s="77"/>
    </row>
    <row r="5" spans="1:11" x14ac:dyDescent="0.35">
      <c r="A5" s="2" t="s">
        <v>11</v>
      </c>
      <c r="B5" s="75">
        <v>945</v>
      </c>
      <c r="C5" s="76"/>
      <c r="D5" s="76"/>
      <c r="E5" s="76"/>
      <c r="F5" s="76"/>
      <c r="G5" s="76"/>
      <c r="H5" s="76"/>
      <c r="I5" s="76"/>
      <c r="J5" s="76"/>
      <c r="K5" s="77"/>
    </row>
    <row r="6" spans="1:11" x14ac:dyDescent="0.35">
      <c r="A6" s="3" t="s">
        <v>12</v>
      </c>
      <c r="B6" s="75" t="s">
        <v>60</v>
      </c>
      <c r="C6" s="76"/>
      <c r="D6" s="76"/>
      <c r="E6" s="76"/>
      <c r="F6" s="76"/>
      <c r="G6" s="76"/>
      <c r="H6" s="76"/>
      <c r="I6" s="76"/>
      <c r="J6" s="76"/>
      <c r="K6" s="77"/>
    </row>
    <row r="7" spans="1:11" x14ac:dyDescent="0.35">
      <c r="A7" s="3" t="s">
        <v>13</v>
      </c>
      <c r="B7" s="75" t="s">
        <v>14</v>
      </c>
      <c r="C7" s="76"/>
      <c r="D7" s="76"/>
      <c r="E7" s="76"/>
      <c r="F7" s="76"/>
      <c r="G7" s="76"/>
      <c r="H7" s="76"/>
      <c r="I7" s="76"/>
      <c r="J7" s="76"/>
      <c r="K7" s="77"/>
    </row>
    <row r="8" spans="1:11" x14ac:dyDescent="0.35">
      <c r="A8" s="3" t="s">
        <v>1</v>
      </c>
      <c r="B8" s="75" t="s">
        <v>53</v>
      </c>
      <c r="C8" s="76"/>
      <c r="D8" s="76"/>
      <c r="E8" s="76"/>
      <c r="F8" s="76"/>
      <c r="G8" s="76"/>
      <c r="H8" s="76"/>
      <c r="I8" s="76"/>
      <c r="J8" s="76"/>
      <c r="K8" s="77"/>
    </row>
    <row r="9" spans="1:11" x14ac:dyDescent="0.35">
      <c r="A9" s="3" t="s">
        <v>15</v>
      </c>
      <c r="B9" s="73" t="s">
        <v>82</v>
      </c>
      <c r="C9" s="73"/>
      <c r="D9" s="73"/>
      <c r="E9" s="73"/>
      <c r="F9" s="73"/>
      <c r="G9" s="76" t="s">
        <v>80</v>
      </c>
      <c r="H9" s="76"/>
      <c r="I9" s="76"/>
      <c r="J9" s="76"/>
      <c r="K9" s="77"/>
    </row>
    <row r="10" spans="1:11" x14ac:dyDescent="0.35">
      <c r="A10" s="3" t="s">
        <v>18</v>
      </c>
      <c r="B10" s="75" t="s">
        <v>83</v>
      </c>
      <c r="C10" s="76"/>
      <c r="D10" s="76"/>
      <c r="E10" s="76"/>
      <c r="F10" s="76"/>
      <c r="G10" s="73" t="s">
        <v>84</v>
      </c>
      <c r="H10" s="73"/>
      <c r="I10" s="73"/>
      <c r="J10" s="73"/>
      <c r="K10" s="74"/>
    </row>
    <row r="11" spans="1:11" x14ac:dyDescent="0.35">
      <c r="A11" s="25"/>
      <c r="B11" s="75" t="s">
        <v>21</v>
      </c>
      <c r="C11" s="76"/>
      <c r="D11" s="76"/>
      <c r="E11" s="76"/>
      <c r="F11" s="76"/>
      <c r="G11" s="76"/>
      <c r="H11" s="76"/>
      <c r="I11" s="76"/>
      <c r="J11" s="76"/>
      <c r="K11" s="77"/>
    </row>
    <row r="12" spans="1:11" x14ac:dyDescent="0.35">
      <c r="A12" s="25"/>
      <c r="B12" s="24"/>
      <c r="C12" s="14"/>
      <c r="D12" s="15"/>
      <c r="E12" s="15"/>
      <c r="G12" s="15"/>
      <c r="H12" s="15"/>
      <c r="I12" s="15"/>
      <c r="J12" s="18"/>
      <c r="K12" s="16"/>
    </row>
    <row r="13" spans="1:11" ht="15" customHeight="1" x14ac:dyDescent="0.35">
      <c r="A13" s="25"/>
      <c r="B13" s="109" t="s">
        <v>76</v>
      </c>
      <c r="C13" s="91" t="s">
        <v>24</v>
      </c>
      <c r="D13" s="91" t="s">
        <v>19</v>
      </c>
      <c r="E13" s="91" t="s">
        <v>20</v>
      </c>
      <c r="F13" s="91" t="s">
        <v>2</v>
      </c>
      <c r="G13" s="76" t="s">
        <v>22</v>
      </c>
      <c r="H13" s="76"/>
      <c r="I13" s="76"/>
      <c r="J13" s="91" t="s">
        <v>70</v>
      </c>
      <c r="K13" s="16"/>
    </row>
    <row r="14" spans="1:11" x14ac:dyDescent="0.35">
      <c r="A14" s="17" t="s">
        <v>9</v>
      </c>
      <c r="B14" s="110"/>
      <c r="C14" s="91"/>
      <c r="D14" s="91"/>
      <c r="E14" s="91"/>
      <c r="F14" s="91"/>
      <c r="G14" s="22" t="s">
        <v>25</v>
      </c>
      <c r="H14" s="5" t="s">
        <v>26</v>
      </c>
      <c r="I14" s="14" t="s">
        <v>23</v>
      </c>
      <c r="J14" s="91"/>
      <c r="K14" s="16" t="s">
        <v>3</v>
      </c>
    </row>
    <row r="15" spans="1:11" x14ac:dyDescent="0.35">
      <c r="A15" s="17">
        <v>2</v>
      </c>
      <c r="B15" s="22">
        <v>8</v>
      </c>
      <c r="C15" s="10" t="s">
        <v>66</v>
      </c>
      <c r="D15" s="10">
        <v>1992</v>
      </c>
      <c r="E15" s="10">
        <v>46</v>
      </c>
      <c r="F15" s="10">
        <v>87</v>
      </c>
      <c r="G15" s="10">
        <v>13</v>
      </c>
      <c r="H15" s="10">
        <v>0</v>
      </c>
      <c r="I15" s="10">
        <v>13</v>
      </c>
      <c r="J15" s="10">
        <v>2235</v>
      </c>
      <c r="K15" s="11">
        <v>25</v>
      </c>
    </row>
    <row r="16" spans="1:11" x14ac:dyDescent="0.35">
      <c r="A16" s="17">
        <v>2.1</v>
      </c>
      <c r="B16" s="22">
        <v>6</v>
      </c>
      <c r="C16" s="10" t="s">
        <v>66</v>
      </c>
      <c r="D16" s="10">
        <v>1992</v>
      </c>
      <c r="E16" s="10">
        <v>26</v>
      </c>
      <c r="F16" s="10">
        <v>58</v>
      </c>
      <c r="G16" s="10">
        <v>23</v>
      </c>
      <c r="H16" s="10">
        <v>19</v>
      </c>
      <c r="I16" s="10">
        <v>42</v>
      </c>
      <c r="J16" s="10">
        <v>2080</v>
      </c>
      <c r="K16" s="11">
        <v>25</v>
      </c>
    </row>
    <row r="17" spans="1:11" x14ac:dyDescent="0.35">
      <c r="A17" s="17">
        <v>2.1</v>
      </c>
      <c r="B17" s="22">
        <v>6</v>
      </c>
      <c r="C17" s="10" t="s">
        <v>66</v>
      </c>
      <c r="D17" s="10">
        <v>1992</v>
      </c>
      <c r="E17" s="10">
        <v>26</v>
      </c>
      <c r="F17" s="10">
        <v>58</v>
      </c>
      <c r="G17" s="10">
        <v>23</v>
      </c>
      <c r="H17" s="10">
        <v>19</v>
      </c>
      <c r="I17" s="10">
        <v>42</v>
      </c>
      <c r="J17" s="10">
        <v>2080</v>
      </c>
      <c r="K17" s="11">
        <v>25</v>
      </c>
    </row>
    <row r="18" spans="1:11" x14ac:dyDescent="0.35">
      <c r="A18" s="17">
        <v>2.2000000000000002</v>
      </c>
      <c r="B18" s="22">
        <v>8</v>
      </c>
      <c r="C18" s="10" t="s">
        <v>66</v>
      </c>
      <c r="D18" s="10">
        <v>1992</v>
      </c>
      <c r="E18" s="10">
        <v>31</v>
      </c>
      <c r="F18" s="10">
        <v>47</v>
      </c>
      <c r="G18" s="10">
        <v>34</v>
      </c>
      <c r="H18" s="10">
        <v>19</v>
      </c>
      <c r="I18" s="10">
        <v>53</v>
      </c>
      <c r="J18" s="10">
        <v>1785</v>
      </c>
      <c r="K18" s="11">
        <v>25</v>
      </c>
    </row>
    <row r="19" spans="1:11" x14ac:dyDescent="0.35">
      <c r="A19" s="17">
        <v>2.2000000000000002</v>
      </c>
      <c r="B19" s="22" t="s">
        <v>10</v>
      </c>
      <c r="C19" s="10" t="s">
        <v>74</v>
      </c>
      <c r="D19" s="10">
        <v>1993</v>
      </c>
      <c r="E19" s="10">
        <v>79</v>
      </c>
      <c r="F19" s="10">
        <v>56</v>
      </c>
      <c r="G19" s="10">
        <v>6</v>
      </c>
      <c r="H19" s="10">
        <v>38</v>
      </c>
      <c r="I19" s="10">
        <v>44</v>
      </c>
      <c r="J19" s="10">
        <v>635</v>
      </c>
      <c r="K19" s="11">
        <v>2</v>
      </c>
    </row>
    <row r="20" spans="1:11" x14ac:dyDescent="0.35">
      <c r="A20" s="17">
        <v>2.2000000000000002</v>
      </c>
      <c r="B20" s="22">
        <v>8</v>
      </c>
      <c r="C20" s="10" t="s">
        <v>66</v>
      </c>
      <c r="D20" s="10">
        <v>1992</v>
      </c>
      <c r="E20" s="10">
        <v>35</v>
      </c>
      <c r="F20" s="10">
        <v>78</v>
      </c>
      <c r="G20" s="10">
        <v>9</v>
      </c>
      <c r="H20" s="10">
        <v>13</v>
      </c>
      <c r="I20" s="10">
        <v>22</v>
      </c>
      <c r="J20" s="10">
        <v>7080</v>
      </c>
      <c r="K20" s="11">
        <v>25</v>
      </c>
    </row>
    <row r="21" spans="1:11" x14ac:dyDescent="0.35">
      <c r="A21" s="17">
        <v>2.2999999999999998</v>
      </c>
      <c r="B21" s="22">
        <v>6</v>
      </c>
      <c r="C21" s="10" t="s">
        <v>66</v>
      </c>
      <c r="D21" s="10">
        <v>1992</v>
      </c>
      <c r="E21" s="10">
        <v>37</v>
      </c>
      <c r="F21" s="10">
        <v>32</v>
      </c>
      <c r="G21" s="10">
        <v>41</v>
      </c>
      <c r="H21" s="10">
        <v>27</v>
      </c>
      <c r="I21" s="10">
        <v>68</v>
      </c>
      <c r="J21" s="10">
        <v>2080</v>
      </c>
      <c r="K21" s="11">
        <v>25</v>
      </c>
    </row>
    <row r="22" spans="1:11" x14ac:dyDescent="0.35">
      <c r="A22" s="17">
        <v>2.2999999999999998</v>
      </c>
      <c r="B22" s="22" t="s">
        <v>10</v>
      </c>
      <c r="C22" s="10" t="s">
        <v>31</v>
      </c>
      <c r="D22" s="10">
        <v>1993</v>
      </c>
      <c r="E22" s="10">
        <v>58</v>
      </c>
      <c r="F22" s="10">
        <v>64</v>
      </c>
      <c r="G22" s="10">
        <v>5</v>
      </c>
      <c r="H22" s="10">
        <v>31</v>
      </c>
      <c r="I22" s="10">
        <v>36</v>
      </c>
      <c r="J22" s="10">
        <v>1255</v>
      </c>
      <c r="K22" s="11">
        <v>2</v>
      </c>
    </row>
    <row r="23" spans="1:11" x14ac:dyDescent="0.35">
      <c r="A23" s="17">
        <v>2.2999999999999998</v>
      </c>
      <c r="B23" s="22">
        <v>6</v>
      </c>
      <c r="C23" s="10" t="s">
        <v>66</v>
      </c>
      <c r="D23" s="10">
        <v>1992</v>
      </c>
      <c r="E23" s="10">
        <v>37</v>
      </c>
      <c r="F23" s="10">
        <v>32</v>
      </c>
      <c r="G23" s="10">
        <v>41</v>
      </c>
      <c r="H23" s="10">
        <v>27</v>
      </c>
      <c r="I23" s="10">
        <v>68</v>
      </c>
      <c r="J23" s="10">
        <v>2080</v>
      </c>
      <c r="K23" s="11">
        <v>25</v>
      </c>
    </row>
    <row r="24" spans="1:11" x14ac:dyDescent="0.35">
      <c r="A24" s="17">
        <v>2.4</v>
      </c>
      <c r="B24" s="22" t="s">
        <v>10</v>
      </c>
      <c r="C24" s="10" t="s">
        <v>31</v>
      </c>
      <c r="D24" s="10">
        <v>1993</v>
      </c>
      <c r="E24" s="10" t="s">
        <v>0</v>
      </c>
      <c r="F24" s="10">
        <v>48</v>
      </c>
      <c r="G24" s="10">
        <v>17</v>
      </c>
      <c r="H24" s="10">
        <v>35</v>
      </c>
      <c r="I24" s="10">
        <v>52</v>
      </c>
      <c r="J24" s="10">
        <v>1210</v>
      </c>
      <c r="K24" s="11">
        <v>2</v>
      </c>
    </row>
    <row r="25" spans="1:11" x14ac:dyDescent="0.35">
      <c r="A25" s="17">
        <v>2.6</v>
      </c>
      <c r="B25" s="22" t="s">
        <v>10</v>
      </c>
      <c r="C25" s="10" t="s">
        <v>31</v>
      </c>
      <c r="D25" s="10">
        <v>1993</v>
      </c>
      <c r="E25" s="10" t="s">
        <v>0</v>
      </c>
      <c r="F25" s="10">
        <v>72</v>
      </c>
      <c r="G25" s="10">
        <v>15</v>
      </c>
      <c r="H25" s="10">
        <v>13</v>
      </c>
      <c r="I25" s="10">
        <v>28</v>
      </c>
      <c r="J25" s="10">
        <v>940</v>
      </c>
      <c r="K25" s="11">
        <v>2</v>
      </c>
    </row>
    <row r="26" spans="1:11" x14ac:dyDescent="0.35">
      <c r="A26" s="17">
        <v>2.8</v>
      </c>
      <c r="B26" s="22" t="s">
        <v>10</v>
      </c>
      <c r="C26" s="10" t="s">
        <v>31</v>
      </c>
      <c r="D26" s="10">
        <v>1993</v>
      </c>
      <c r="E26" s="10" t="s">
        <v>0</v>
      </c>
      <c r="F26" s="10">
        <v>54</v>
      </c>
      <c r="G26" s="10">
        <v>11</v>
      </c>
      <c r="H26" s="10">
        <v>35</v>
      </c>
      <c r="I26" s="10">
        <v>46</v>
      </c>
      <c r="J26" s="10">
        <v>1240</v>
      </c>
      <c r="K26" s="11">
        <v>2</v>
      </c>
    </row>
    <row r="27" spans="1:11" x14ac:dyDescent="0.35">
      <c r="A27" s="17">
        <v>3</v>
      </c>
      <c r="B27" s="22" t="s">
        <v>10</v>
      </c>
      <c r="C27" s="10" t="s">
        <v>74</v>
      </c>
      <c r="D27" s="10">
        <v>1993</v>
      </c>
      <c r="E27" s="10">
        <v>62</v>
      </c>
      <c r="F27" s="10">
        <v>74</v>
      </c>
      <c r="G27" s="10">
        <v>10</v>
      </c>
      <c r="H27" s="10">
        <v>16</v>
      </c>
      <c r="I27" s="10">
        <v>26</v>
      </c>
      <c r="J27" s="10">
        <v>790</v>
      </c>
      <c r="K27" s="11">
        <v>2</v>
      </c>
    </row>
    <row r="28" spans="1:11" x14ac:dyDescent="0.35">
      <c r="A28" s="17">
        <v>3.6</v>
      </c>
      <c r="B28" s="22" t="s">
        <v>10</v>
      </c>
      <c r="C28" s="10" t="s">
        <v>31</v>
      </c>
      <c r="D28" s="10">
        <v>1993</v>
      </c>
      <c r="E28" s="10">
        <v>49</v>
      </c>
      <c r="F28" s="10">
        <v>67</v>
      </c>
      <c r="G28" s="10">
        <v>4</v>
      </c>
      <c r="H28" s="10">
        <v>29</v>
      </c>
      <c r="I28" s="10">
        <v>33</v>
      </c>
      <c r="J28" s="10">
        <v>1985</v>
      </c>
      <c r="K28" s="11">
        <v>2</v>
      </c>
    </row>
    <row r="29" spans="1:11" x14ac:dyDescent="0.35">
      <c r="A29" s="17">
        <v>3.7</v>
      </c>
      <c r="B29" s="22" t="s">
        <v>10</v>
      </c>
      <c r="C29" s="10" t="s">
        <v>31</v>
      </c>
      <c r="D29" s="10">
        <v>1993</v>
      </c>
      <c r="E29" s="10">
        <v>49</v>
      </c>
      <c r="F29" s="10">
        <v>66</v>
      </c>
      <c r="G29" s="10">
        <v>16</v>
      </c>
      <c r="H29" s="10">
        <v>18</v>
      </c>
      <c r="I29" s="10">
        <v>34</v>
      </c>
      <c r="J29" s="10">
        <v>990</v>
      </c>
      <c r="K29" s="11">
        <v>2</v>
      </c>
    </row>
    <row r="30" spans="1:11" x14ac:dyDescent="0.35">
      <c r="A30" s="17">
        <v>4.694</v>
      </c>
      <c r="B30" s="22">
        <v>12</v>
      </c>
      <c r="C30" s="10" t="s">
        <v>66</v>
      </c>
      <c r="D30" s="10">
        <v>2000</v>
      </c>
      <c r="E30" s="10" t="s">
        <v>0</v>
      </c>
      <c r="F30" s="10">
        <v>72</v>
      </c>
      <c r="G30" s="10" t="s">
        <v>0</v>
      </c>
      <c r="H30" s="10" t="s">
        <v>0</v>
      </c>
      <c r="I30" s="10">
        <v>28</v>
      </c>
      <c r="J30" s="10">
        <v>2440</v>
      </c>
      <c r="K30" s="11">
        <v>30</v>
      </c>
    </row>
    <row r="31" spans="1:11" x14ac:dyDescent="0.35">
      <c r="A31" s="17">
        <v>4.694</v>
      </c>
      <c r="B31" s="22">
        <v>12</v>
      </c>
      <c r="C31" s="10" t="s">
        <v>66</v>
      </c>
      <c r="D31" s="10">
        <v>2000</v>
      </c>
      <c r="E31" s="10" t="s">
        <v>0</v>
      </c>
      <c r="F31" s="10">
        <v>78</v>
      </c>
      <c r="G31" s="10" t="s">
        <v>0</v>
      </c>
      <c r="H31" s="10" t="s">
        <v>0</v>
      </c>
      <c r="I31" s="10">
        <v>22</v>
      </c>
      <c r="J31" s="10">
        <v>1561</v>
      </c>
      <c r="K31" s="11">
        <v>30</v>
      </c>
    </row>
    <row r="32" spans="1:11" x14ac:dyDescent="0.35">
      <c r="A32" s="17">
        <v>4.694</v>
      </c>
      <c r="B32" s="22">
        <v>12</v>
      </c>
      <c r="C32" s="10" t="s">
        <v>66</v>
      </c>
      <c r="D32" s="10">
        <v>2000</v>
      </c>
      <c r="E32" s="10" t="s">
        <v>0</v>
      </c>
      <c r="F32" s="10">
        <v>79</v>
      </c>
      <c r="G32" s="10" t="s">
        <v>0</v>
      </c>
      <c r="H32" s="10" t="s">
        <v>0</v>
      </c>
      <c r="I32" s="10">
        <v>21</v>
      </c>
      <c r="J32" s="10">
        <v>2764</v>
      </c>
      <c r="K32" s="11">
        <v>30</v>
      </c>
    </row>
    <row r="33" spans="1:11" x14ac:dyDescent="0.35">
      <c r="A33" s="17">
        <v>4.8479999999999999</v>
      </c>
      <c r="B33" s="22">
        <v>12</v>
      </c>
      <c r="C33" s="10" t="s">
        <v>37</v>
      </c>
      <c r="D33" s="10">
        <v>2000</v>
      </c>
      <c r="E33" s="10" t="s">
        <v>0</v>
      </c>
      <c r="F33" s="10">
        <v>55</v>
      </c>
      <c r="G33" s="10" t="s">
        <v>0</v>
      </c>
      <c r="H33" s="10" t="s">
        <v>0</v>
      </c>
      <c r="I33" s="10">
        <v>45</v>
      </c>
      <c r="J33" s="10">
        <v>1398</v>
      </c>
      <c r="K33" s="11">
        <v>30</v>
      </c>
    </row>
    <row r="34" spans="1:11" x14ac:dyDescent="0.35">
      <c r="A34" s="17">
        <v>5.0599999999999996</v>
      </c>
      <c r="B34" s="22">
        <v>12</v>
      </c>
      <c r="C34" s="10" t="s">
        <v>35</v>
      </c>
      <c r="D34" s="10">
        <v>2000</v>
      </c>
      <c r="E34" s="10" t="s">
        <v>0</v>
      </c>
      <c r="F34" s="10">
        <v>84</v>
      </c>
      <c r="G34" s="10" t="s">
        <v>0</v>
      </c>
      <c r="H34" s="10" t="s">
        <v>0</v>
      </c>
      <c r="I34" s="10">
        <v>16</v>
      </c>
      <c r="J34" s="10">
        <v>3219</v>
      </c>
      <c r="K34" s="11">
        <v>30</v>
      </c>
    </row>
    <row r="35" spans="1:11" x14ac:dyDescent="0.35">
      <c r="A35" s="17">
        <v>5.242</v>
      </c>
      <c r="B35" s="22">
        <v>12</v>
      </c>
      <c r="C35" s="10" t="s">
        <v>37</v>
      </c>
      <c r="D35" s="10">
        <v>2000</v>
      </c>
      <c r="E35" s="10" t="s">
        <v>0</v>
      </c>
      <c r="F35" s="10">
        <v>74</v>
      </c>
      <c r="G35" s="10" t="s">
        <v>0</v>
      </c>
      <c r="H35" s="10" t="s">
        <v>0</v>
      </c>
      <c r="I35" s="10">
        <v>26</v>
      </c>
      <c r="J35" s="10">
        <v>1160</v>
      </c>
      <c r="K35" s="11">
        <v>30</v>
      </c>
    </row>
    <row r="36" spans="1:11" x14ac:dyDescent="0.35">
      <c r="A36" s="17">
        <v>5.242</v>
      </c>
      <c r="B36" s="22">
        <v>12</v>
      </c>
      <c r="C36" s="10" t="s">
        <v>37</v>
      </c>
      <c r="D36" s="10">
        <v>2000</v>
      </c>
      <c r="E36" s="10" t="s">
        <v>0</v>
      </c>
      <c r="F36" s="10">
        <v>71</v>
      </c>
      <c r="G36" s="10" t="s">
        <v>0</v>
      </c>
      <c r="H36" s="10" t="s">
        <v>0</v>
      </c>
      <c r="I36" s="10">
        <v>29</v>
      </c>
      <c r="J36" s="10">
        <v>548</v>
      </c>
      <c r="K36" s="11">
        <v>30</v>
      </c>
    </row>
    <row r="37" spans="1:11" x14ac:dyDescent="0.35">
      <c r="A37" s="17">
        <v>5.4880000000000004</v>
      </c>
      <c r="B37" s="22">
        <v>12</v>
      </c>
      <c r="C37" s="10" t="s">
        <v>77</v>
      </c>
      <c r="D37" s="10">
        <v>2000</v>
      </c>
      <c r="E37" s="10" t="s">
        <v>0</v>
      </c>
      <c r="F37" s="10">
        <v>80</v>
      </c>
      <c r="G37" s="10" t="s">
        <v>0</v>
      </c>
      <c r="H37" s="10" t="s">
        <v>0</v>
      </c>
      <c r="I37" s="10">
        <v>20</v>
      </c>
      <c r="J37" s="10" t="s">
        <v>0</v>
      </c>
      <c r="K37" s="11">
        <v>30</v>
      </c>
    </row>
    <row r="38" spans="1:11" x14ac:dyDescent="0.35">
      <c r="A38" s="17">
        <v>5.5</v>
      </c>
      <c r="B38" s="22">
        <v>12</v>
      </c>
      <c r="C38" s="10" t="s">
        <v>35</v>
      </c>
      <c r="D38" s="10">
        <v>2000</v>
      </c>
      <c r="E38" s="10" t="s">
        <v>0</v>
      </c>
      <c r="F38" s="10">
        <v>85</v>
      </c>
      <c r="G38" s="10" t="s">
        <v>0</v>
      </c>
      <c r="H38" s="10" t="s">
        <v>0</v>
      </c>
      <c r="I38" s="10">
        <v>15</v>
      </c>
      <c r="J38" s="10">
        <v>2975</v>
      </c>
      <c r="K38" s="11">
        <v>30</v>
      </c>
    </row>
    <row r="39" spans="1:11" x14ac:dyDescent="0.35">
      <c r="A39" s="17">
        <v>4.2</v>
      </c>
      <c r="B39" s="22" t="s">
        <v>10</v>
      </c>
      <c r="C39" s="10" t="s">
        <v>31</v>
      </c>
      <c r="D39" s="10">
        <v>1993</v>
      </c>
      <c r="E39" s="10">
        <v>47</v>
      </c>
      <c r="F39" s="10">
        <v>62</v>
      </c>
      <c r="G39" s="10">
        <v>19</v>
      </c>
      <c r="H39" s="10">
        <v>19</v>
      </c>
      <c r="I39" s="10">
        <v>38</v>
      </c>
      <c r="J39" s="10">
        <v>1705</v>
      </c>
      <c r="K39" s="11">
        <v>2</v>
      </c>
    </row>
    <row r="40" spans="1:11" x14ac:dyDescent="0.35">
      <c r="A40" s="17">
        <v>4.694</v>
      </c>
      <c r="B40" s="22">
        <v>16</v>
      </c>
      <c r="C40" s="10" t="s">
        <v>66</v>
      </c>
      <c r="D40" s="10">
        <v>2000</v>
      </c>
      <c r="E40" s="10" t="s">
        <v>0</v>
      </c>
      <c r="F40" s="10">
        <v>90</v>
      </c>
      <c r="G40" s="10" t="s">
        <v>0</v>
      </c>
      <c r="H40" s="10" t="s">
        <v>0</v>
      </c>
      <c r="I40" s="10">
        <v>10</v>
      </c>
      <c r="J40" s="10">
        <v>2278</v>
      </c>
      <c r="K40" s="11">
        <v>30</v>
      </c>
    </row>
    <row r="41" spans="1:11" x14ac:dyDescent="0.35">
      <c r="A41" s="17">
        <v>4.694</v>
      </c>
      <c r="B41" s="22">
        <v>16</v>
      </c>
      <c r="C41" s="10" t="s">
        <v>77</v>
      </c>
      <c r="D41" s="10">
        <v>2000</v>
      </c>
      <c r="E41" s="10" t="s">
        <v>0</v>
      </c>
      <c r="F41" s="10">
        <v>74</v>
      </c>
      <c r="G41" s="10" t="s">
        <v>0</v>
      </c>
      <c r="H41" s="10" t="s">
        <v>0</v>
      </c>
      <c r="I41" s="10">
        <v>26</v>
      </c>
      <c r="J41" s="10">
        <v>2185</v>
      </c>
      <c r="K41" s="11">
        <v>30</v>
      </c>
    </row>
    <row r="42" spans="1:11" x14ac:dyDescent="0.35">
      <c r="A42" s="17">
        <v>4.694</v>
      </c>
      <c r="B42" s="22">
        <v>16</v>
      </c>
      <c r="C42" s="10" t="s">
        <v>77</v>
      </c>
      <c r="D42" s="10">
        <v>2000</v>
      </c>
      <c r="E42" s="10" t="s">
        <v>0</v>
      </c>
      <c r="F42" s="10">
        <v>58</v>
      </c>
      <c r="G42" s="10" t="s">
        <v>0</v>
      </c>
      <c r="H42" s="10" t="s">
        <v>0</v>
      </c>
      <c r="I42" s="10">
        <v>42</v>
      </c>
      <c r="J42" s="10">
        <v>962</v>
      </c>
      <c r="K42" s="11">
        <v>30</v>
      </c>
    </row>
    <row r="43" spans="1:11" x14ac:dyDescent="0.35">
      <c r="A43" s="17">
        <v>4.694</v>
      </c>
      <c r="B43" s="22">
        <v>16</v>
      </c>
      <c r="C43" s="10" t="s">
        <v>77</v>
      </c>
      <c r="D43" s="10">
        <v>2000</v>
      </c>
      <c r="E43" s="10" t="s">
        <v>0</v>
      </c>
      <c r="F43" s="10">
        <v>84</v>
      </c>
      <c r="G43" s="10" t="s">
        <v>0</v>
      </c>
      <c r="H43" s="10" t="s">
        <v>0</v>
      </c>
      <c r="I43" s="10">
        <v>16</v>
      </c>
      <c r="J43" s="10">
        <v>2956</v>
      </c>
      <c r="K43" s="11">
        <v>30</v>
      </c>
    </row>
    <row r="44" spans="1:11" x14ac:dyDescent="0.35">
      <c r="A44" s="17">
        <v>4.694</v>
      </c>
      <c r="B44" s="22">
        <v>16</v>
      </c>
      <c r="C44" s="10" t="s">
        <v>63</v>
      </c>
      <c r="D44" s="10">
        <v>2000</v>
      </c>
      <c r="E44" s="10" t="s">
        <v>0</v>
      </c>
      <c r="F44" s="10">
        <v>79</v>
      </c>
      <c r="G44" s="10" t="s">
        <v>0</v>
      </c>
      <c r="H44" s="10" t="s">
        <v>0</v>
      </c>
      <c r="I44" s="10">
        <v>21</v>
      </c>
      <c r="J44" s="10">
        <v>1859</v>
      </c>
      <c r="K44" s="11">
        <v>30</v>
      </c>
    </row>
    <row r="45" spans="1:11" x14ac:dyDescent="0.35">
      <c r="A45" s="17">
        <v>4.694</v>
      </c>
      <c r="B45" s="22">
        <v>20</v>
      </c>
      <c r="C45" s="10" t="s">
        <v>77</v>
      </c>
      <c r="D45" s="10">
        <v>2000</v>
      </c>
      <c r="E45" s="10" t="s">
        <v>0</v>
      </c>
      <c r="F45" s="10">
        <v>84</v>
      </c>
      <c r="G45" s="10" t="s">
        <v>0</v>
      </c>
      <c r="H45" s="10" t="s">
        <v>0</v>
      </c>
      <c r="I45" s="10">
        <v>16</v>
      </c>
      <c r="J45" s="10">
        <v>3864</v>
      </c>
      <c r="K45" s="11">
        <v>30</v>
      </c>
    </row>
    <row r="46" spans="1:11" x14ac:dyDescent="0.35">
      <c r="A46" s="17">
        <v>4.8479999999999999</v>
      </c>
      <c r="B46" s="22">
        <v>16</v>
      </c>
      <c r="C46" s="10" t="s">
        <v>37</v>
      </c>
      <c r="D46" s="10">
        <v>2000</v>
      </c>
      <c r="E46" s="10" t="s">
        <v>0</v>
      </c>
      <c r="F46" s="10">
        <v>68</v>
      </c>
      <c r="G46" s="10" t="s">
        <v>0</v>
      </c>
      <c r="H46" s="10" t="s">
        <v>0</v>
      </c>
      <c r="I46" s="10">
        <v>32</v>
      </c>
      <c r="J46" s="10">
        <v>2106</v>
      </c>
      <c r="K46" s="11">
        <v>30</v>
      </c>
    </row>
    <row r="47" spans="1:11" x14ac:dyDescent="0.35">
      <c r="A47" s="17">
        <v>4.8479999999999999</v>
      </c>
      <c r="B47" s="22">
        <v>16</v>
      </c>
      <c r="C47" s="10" t="s">
        <v>37</v>
      </c>
      <c r="D47" s="10">
        <v>2000</v>
      </c>
      <c r="E47" s="10" t="s">
        <v>0</v>
      </c>
      <c r="F47" s="10">
        <v>85</v>
      </c>
      <c r="G47" s="10" t="s">
        <v>0</v>
      </c>
      <c r="H47" s="10" t="s">
        <v>0</v>
      </c>
      <c r="I47" s="10">
        <v>15</v>
      </c>
      <c r="J47" s="10">
        <v>2676</v>
      </c>
      <c r="K47" s="11">
        <v>30</v>
      </c>
    </row>
    <row r="48" spans="1:11" x14ac:dyDescent="0.35">
      <c r="A48" s="17">
        <v>4.8479999999999999</v>
      </c>
      <c r="B48" s="22">
        <v>16</v>
      </c>
      <c r="C48" s="10" t="s">
        <v>37</v>
      </c>
      <c r="D48" s="10">
        <v>2000</v>
      </c>
      <c r="E48" s="10" t="s">
        <v>0</v>
      </c>
      <c r="F48" s="10">
        <v>75</v>
      </c>
      <c r="G48" s="10" t="s">
        <v>0</v>
      </c>
      <c r="H48" s="10" t="s">
        <v>0</v>
      </c>
      <c r="I48" s="10">
        <v>25</v>
      </c>
      <c r="J48" s="10">
        <v>3244</v>
      </c>
      <c r="K48" s="11">
        <v>30</v>
      </c>
    </row>
    <row r="49" spans="1:11" x14ac:dyDescent="0.35">
      <c r="A49" s="17">
        <v>4.8479999999999999</v>
      </c>
      <c r="B49" s="22">
        <v>16</v>
      </c>
      <c r="C49" s="10" t="s">
        <v>37</v>
      </c>
      <c r="D49" s="10">
        <v>2000</v>
      </c>
      <c r="E49" s="10" t="s">
        <v>0</v>
      </c>
      <c r="F49" s="10">
        <v>71</v>
      </c>
      <c r="G49" s="10" t="s">
        <v>0</v>
      </c>
      <c r="H49" s="10" t="s">
        <v>0</v>
      </c>
      <c r="I49" s="10">
        <v>29</v>
      </c>
      <c r="J49" s="10">
        <v>1663</v>
      </c>
      <c r="K49" s="11">
        <v>30</v>
      </c>
    </row>
    <row r="50" spans="1:11" x14ac:dyDescent="0.35">
      <c r="A50" s="17">
        <v>4.9930000000000003</v>
      </c>
      <c r="B50" s="22">
        <v>16</v>
      </c>
      <c r="C50" s="10" t="s">
        <v>35</v>
      </c>
      <c r="D50" s="10">
        <v>2000</v>
      </c>
      <c r="E50" s="10" t="s">
        <v>0</v>
      </c>
      <c r="F50" s="10">
        <v>75</v>
      </c>
      <c r="G50" s="10" t="s">
        <v>0</v>
      </c>
      <c r="H50" s="10" t="s">
        <v>0</v>
      </c>
      <c r="I50" s="10">
        <v>25</v>
      </c>
      <c r="J50" s="10">
        <v>1991</v>
      </c>
      <c r="K50" s="11">
        <v>30</v>
      </c>
    </row>
    <row r="51" spans="1:11" x14ac:dyDescent="0.35">
      <c r="A51" s="17">
        <v>5.0940000000000003</v>
      </c>
      <c r="B51" s="22">
        <v>16</v>
      </c>
      <c r="C51" s="10" t="s">
        <v>63</v>
      </c>
      <c r="D51" s="10">
        <v>2000</v>
      </c>
      <c r="E51" s="10" t="s">
        <v>0</v>
      </c>
      <c r="F51" s="10">
        <v>86</v>
      </c>
      <c r="G51" s="10" t="s">
        <v>0</v>
      </c>
      <c r="H51" s="10" t="s">
        <v>0</v>
      </c>
      <c r="I51" s="10">
        <v>14</v>
      </c>
      <c r="J51" s="10">
        <v>1260</v>
      </c>
      <c r="K51" s="11">
        <v>30</v>
      </c>
    </row>
    <row r="52" spans="1:11" x14ac:dyDescent="0.35">
      <c r="A52" s="17">
        <v>5.5</v>
      </c>
      <c r="B52" s="22">
        <v>16</v>
      </c>
      <c r="C52" s="10" t="s">
        <v>35</v>
      </c>
      <c r="D52" s="10">
        <v>2000</v>
      </c>
      <c r="E52" s="10" t="s">
        <v>0</v>
      </c>
      <c r="F52" s="10">
        <v>82</v>
      </c>
      <c r="G52" s="10" t="s">
        <v>0</v>
      </c>
      <c r="H52" s="10" t="s">
        <v>0</v>
      </c>
      <c r="I52" s="10">
        <v>18</v>
      </c>
      <c r="J52" s="10">
        <v>1570</v>
      </c>
      <c r="K52" s="11">
        <v>30</v>
      </c>
    </row>
    <row r="53" spans="1:11" x14ac:dyDescent="0.35">
      <c r="A53" s="17">
        <v>5.5430000000000001</v>
      </c>
      <c r="B53" s="22">
        <v>16</v>
      </c>
      <c r="C53" s="10" t="s">
        <v>35</v>
      </c>
      <c r="D53" s="10">
        <v>2000</v>
      </c>
      <c r="E53" s="10" t="s">
        <v>0</v>
      </c>
      <c r="F53" s="10">
        <v>84</v>
      </c>
      <c r="G53" s="10" t="s">
        <v>0</v>
      </c>
      <c r="H53" s="10" t="s">
        <v>0</v>
      </c>
      <c r="I53" s="10">
        <v>16</v>
      </c>
      <c r="J53" s="10">
        <v>1933</v>
      </c>
      <c r="K53" s="11">
        <v>30</v>
      </c>
    </row>
    <row r="54" spans="1:11" x14ac:dyDescent="0.35">
      <c r="A54" s="17">
        <v>5.5650000000000004</v>
      </c>
      <c r="B54" s="22">
        <v>16</v>
      </c>
      <c r="C54" s="10" t="s">
        <v>35</v>
      </c>
      <c r="D54" s="10">
        <v>2000</v>
      </c>
      <c r="E54" s="10" t="s">
        <v>0</v>
      </c>
      <c r="F54" s="10">
        <v>77</v>
      </c>
      <c r="G54" s="10" t="s">
        <v>0</v>
      </c>
      <c r="H54" s="10" t="s">
        <v>0</v>
      </c>
      <c r="I54" s="10">
        <v>23</v>
      </c>
      <c r="J54" s="10">
        <v>2262</v>
      </c>
      <c r="K54" s="11">
        <v>30</v>
      </c>
    </row>
    <row r="55" spans="1:11" x14ac:dyDescent="0.35">
      <c r="A55" s="17">
        <v>5.5650000000000004</v>
      </c>
      <c r="B55" s="22">
        <v>16</v>
      </c>
      <c r="C55" s="10" t="s">
        <v>35</v>
      </c>
      <c r="D55" s="10">
        <v>2000</v>
      </c>
      <c r="E55" s="10" t="s">
        <v>0</v>
      </c>
      <c r="F55" s="10">
        <v>68</v>
      </c>
      <c r="G55" s="10" t="s">
        <v>0</v>
      </c>
      <c r="H55" s="10" t="s">
        <v>0</v>
      </c>
      <c r="I55" s="10">
        <v>32</v>
      </c>
      <c r="J55" s="10">
        <v>2854</v>
      </c>
      <c r="K55" s="11">
        <v>30</v>
      </c>
    </row>
    <row r="56" spans="1:11" x14ac:dyDescent="0.35">
      <c r="A56" s="17">
        <v>5.5650000000000004</v>
      </c>
      <c r="B56" s="22">
        <v>16</v>
      </c>
      <c r="C56" s="10" t="s">
        <v>63</v>
      </c>
      <c r="D56" s="10">
        <v>2000</v>
      </c>
      <c r="E56" s="10" t="s">
        <v>0</v>
      </c>
      <c r="F56" s="10">
        <v>58</v>
      </c>
      <c r="G56" s="10" t="s">
        <v>0</v>
      </c>
      <c r="H56" s="10" t="s">
        <v>0</v>
      </c>
      <c r="I56" s="10">
        <v>42</v>
      </c>
      <c r="J56" s="10">
        <v>1253</v>
      </c>
      <c r="K56" s="11">
        <v>30</v>
      </c>
    </row>
    <row r="57" spans="1:11" x14ac:dyDescent="0.35">
      <c r="A57" s="17">
        <v>5.5650000000000004</v>
      </c>
      <c r="B57" s="22">
        <v>16</v>
      </c>
      <c r="C57" s="10" t="s">
        <v>63</v>
      </c>
      <c r="D57" s="10">
        <v>2000</v>
      </c>
      <c r="E57" s="10" t="s">
        <v>0</v>
      </c>
      <c r="F57" s="10">
        <v>79</v>
      </c>
      <c r="G57" s="10" t="s">
        <v>0</v>
      </c>
      <c r="H57" s="10" t="s">
        <v>0</v>
      </c>
      <c r="I57" s="10">
        <v>21</v>
      </c>
      <c r="J57" s="10">
        <v>1928</v>
      </c>
      <c r="K57" s="11">
        <v>30</v>
      </c>
    </row>
    <row r="58" spans="1:11" x14ac:dyDescent="0.35">
      <c r="A58" s="17">
        <v>5.5650000000000004</v>
      </c>
      <c r="B58" s="22">
        <v>16</v>
      </c>
      <c r="C58" s="10" t="s">
        <v>63</v>
      </c>
      <c r="D58" s="10">
        <v>2000</v>
      </c>
      <c r="E58" s="6" t="s">
        <v>6</v>
      </c>
      <c r="F58" s="10">
        <v>84</v>
      </c>
      <c r="G58" s="6" t="s">
        <v>6</v>
      </c>
      <c r="H58" s="6" t="s">
        <v>6</v>
      </c>
      <c r="I58" s="10">
        <v>16</v>
      </c>
      <c r="J58" s="10">
        <v>1953</v>
      </c>
      <c r="K58" s="11">
        <v>30</v>
      </c>
    </row>
    <row r="59" spans="1:11" ht="15" thickBot="1" x14ac:dyDescent="0.4">
      <c r="A59" s="7"/>
      <c r="B59" s="23"/>
      <c r="C59" s="12"/>
      <c r="D59" s="8"/>
      <c r="E59" s="8"/>
      <c r="F59" s="12"/>
      <c r="G59" s="8"/>
      <c r="H59" s="8"/>
      <c r="I59" s="8"/>
      <c r="J59" s="12"/>
      <c r="K59" s="13"/>
    </row>
  </sheetData>
  <mergeCells count="19">
    <mergeCell ref="J13:J14"/>
    <mergeCell ref="B13:B14"/>
    <mergeCell ref="C13:C14"/>
    <mergeCell ref="D13:D14"/>
    <mergeCell ref="E13:E14"/>
    <mergeCell ref="F13:F14"/>
    <mergeCell ref="G13:I13"/>
    <mergeCell ref="B11:K11"/>
    <mergeCell ref="A1:K2"/>
    <mergeCell ref="A3:K3"/>
    <mergeCell ref="A4:K4"/>
    <mergeCell ref="B5:K5"/>
    <mergeCell ref="B6:K6"/>
    <mergeCell ref="B7:K7"/>
    <mergeCell ref="B8:K8"/>
    <mergeCell ref="B9:F9"/>
    <mergeCell ref="G9:K9"/>
    <mergeCell ref="B10:F10"/>
    <mergeCell ref="G10:K10"/>
  </mergeCells>
  <pageMargins left="0.7" right="0.7" top="0.75" bottom="0.75" header="0.3" footer="0.3"/>
  <pageSetup orientation="landscape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6366A-5645-40EE-93E3-48A97CB66443}">
  <sheetPr>
    <tabColor rgb="FFFFFF00"/>
  </sheetPr>
  <dimension ref="A1:K55"/>
  <sheetViews>
    <sheetView zoomScale="130" zoomScaleNormal="130" workbookViewId="0">
      <selection activeCell="A4" sqref="A4:K4"/>
    </sheetView>
  </sheetViews>
  <sheetFormatPr defaultColWidth="9.1796875" defaultRowHeight="14.5" x14ac:dyDescent="0.35"/>
  <cols>
    <col min="1" max="1" width="20.1796875" bestFit="1" customWidth="1"/>
    <col min="2" max="2" width="13.54296875" customWidth="1"/>
    <col min="3" max="3" width="14.26953125" style="1" bestFit="1" customWidth="1"/>
    <col min="4" max="4" width="8.1796875" style="1" customWidth="1"/>
    <col min="5" max="5" width="10.54296875" style="1" customWidth="1"/>
    <col min="6" max="6" width="9.54296875" style="1" customWidth="1"/>
    <col min="7" max="7" width="12.1796875" style="1" customWidth="1"/>
    <col min="8" max="8" width="12.54296875" style="1" customWidth="1"/>
    <col min="9" max="9" width="8.81640625" style="1" bestFit="1" customWidth="1"/>
    <col min="10" max="10" width="14.1796875" style="1" customWidth="1"/>
    <col min="11" max="11" width="7" style="1" bestFit="1" customWidth="1"/>
  </cols>
  <sheetData>
    <row r="1" spans="1:11" x14ac:dyDescent="0.35">
      <c r="A1" s="66" t="s">
        <v>16</v>
      </c>
      <c r="B1" s="67"/>
      <c r="C1" s="67"/>
      <c r="D1" s="67"/>
      <c r="E1" s="67"/>
      <c r="F1" s="67"/>
      <c r="G1" s="67"/>
      <c r="H1" s="67"/>
      <c r="I1" s="67"/>
      <c r="J1" s="67"/>
      <c r="K1" s="68"/>
    </row>
    <row r="2" spans="1:11" x14ac:dyDescent="0.35">
      <c r="A2" s="69"/>
      <c r="B2" s="70"/>
      <c r="C2" s="70"/>
      <c r="D2" s="70"/>
      <c r="E2" s="70"/>
      <c r="F2" s="70"/>
      <c r="G2" s="70"/>
      <c r="H2" s="70"/>
      <c r="I2" s="70"/>
      <c r="J2" s="70"/>
      <c r="K2" s="71"/>
    </row>
    <row r="3" spans="1:11" x14ac:dyDescent="0.35">
      <c r="A3" s="72" t="s">
        <v>135</v>
      </c>
      <c r="B3" s="87"/>
      <c r="C3" s="73"/>
      <c r="D3" s="73"/>
      <c r="E3" s="73"/>
      <c r="F3" s="73"/>
      <c r="G3" s="73"/>
      <c r="H3" s="73"/>
      <c r="I3" s="73"/>
      <c r="J3" s="73"/>
      <c r="K3" s="74"/>
    </row>
    <row r="4" spans="1:11" x14ac:dyDescent="0.35">
      <c r="A4" s="81"/>
      <c r="B4" s="76"/>
      <c r="C4" s="76"/>
      <c r="D4" s="76"/>
      <c r="E4" s="76"/>
      <c r="F4" s="76"/>
      <c r="G4" s="76"/>
      <c r="H4" s="76"/>
      <c r="I4" s="76"/>
      <c r="J4" s="76"/>
      <c r="K4" s="77"/>
    </row>
    <row r="5" spans="1:11" x14ac:dyDescent="0.35">
      <c r="A5" s="2" t="s">
        <v>11</v>
      </c>
      <c r="B5" s="75">
        <v>945</v>
      </c>
      <c r="C5" s="76"/>
      <c r="D5" s="76"/>
      <c r="E5" s="76"/>
      <c r="F5" s="76"/>
      <c r="G5" s="76"/>
      <c r="H5" s="76"/>
      <c r="I5" s="76"/>
      <c r="J5" s="76"/>
      <c r="K5" s="77"/>
    </row>
    <row r="6" spans="1:11" x14ac:dyDescent="0.35">
      <c r="A6" s="3" t="s">
        <v>12</v>
      </c>
      <c r="B6" s="75" t="s">
        <v>60</v>
      </c>
      <c r="C6" s="76"/>
      <c r="D6" s="76"/>
      <c r="E6" s="76"/>
      <c r="F6" s="76"/>
      <c r="G6" s="76"/>
      <c r="H6" s="76"/>
      <c r="I6" s="76"/>
      <c r="J6" s="76"/>
      <c r="K6" s="77"/>
    </row>
    <row r="7" spans="1:11" x14ac:dyDescent="0.35">
      <c r="A7" s="3" t="s">
        <v>13</v>
      </c>
      <c r="B7" s="75" t="s">
        <v>14</v>
      </c>
      <c r="C7" s="76"/>
      <c r="D7" s="76"/>
      <c r="E7" s="76"/>
      <c r="F7" s="76"/>
      <c r="G7" s="76"/>
      <c r="H7" s="76"/>
      <c r="I7" s="76"/>
      <c r="J7" s="76"/>
      <c r="K7" s="77"/>
    </row>
    <row r="8" spans="1:11" x14ac:dyDescent="0.35">
      <c r="A8" s="3" t="s">
        <v>1</v>
      </c>
      <c r="B8" s="75" t="s">
        <v>17</v>
      </c>
      <c r="C8" s="76"/>
      <c r="D8" s="76"/>
      <c r="E8" s="76"/>
      <c r="F8" s="76"/>
      <c r="G8" s="76"/>
      <c r="H8" s="76"/>
      <c r="I8" s="76"/>
      <c r="J8" s="76"/>
      <c r="K8" s="77"/>
    </row>
    <row r="9" spans="1:11" x14ac:dyDescent="0.35">
      <c r="A9" s="3" t="s">
        <v>15</v>
      </c>
      <c r="B9" s="73" t="s">
        <v>78</v>
      </c>
      <c r="C9" s="73"/>
      <c r="D9" s="73"/>
      <c r="E9" s="73"/>
      <c r="F9" s="73"/>
      <c r="G9" s="76" t="s">
        <v>80</v>
      </c>
      <c r="H9" s="76"/>
      <c r="I9" s="76"/>
      <c r="J9" s="76"/>
      <c r="K9" s="77"/>
    </row>
    <row r="10" spans="1:11" x14ac:dyDescent="0.35">
      <c r="A10" s="3" t="s">
        <v>18</v>
      </c>
      <c r="B10" s="75" t="s">
        <v>79</v>
      </c>
      <c r="C10" s="76"/>
      <c r="D10" s="76"/>
      <c r="E10" s="76"/>
      <c r="F10" s="76"/>
      <c r="G10" s="73" t="s">
        <v>81</v>
      </c>
      <c r="H10" s="73"/>
      <c r="I10" s="73"/>
      <c r="J10" s="73"/>
      <c r="K10" s="74"/>
    </row>
    <row r="11" spans="1:11" x14ac:dyDescent="0.35">
      <c r="A11" s="25"/>
      <c r="B11" s="75" t="s">
        <v>21</v>
      </c>
      <c r="C11" s="76"/>
      <c r="D11" s="76"/>
      <c r="E11" s="76"/>
      <c r="F11" s="76"/>
      <c r="G11" s="76"/>
      <c r="H11" s="76"/>
      <c r="I11" s="76"/>
      <c r="J11" s="76"/>
      <c r="K11" s="77"/>
    </row>
    <row r="12" spans="1:11" x14ac:dyDescent="0.35">
      <c r="A12" s="25"/>
      <c r="B12" s="24"/>
      <c r="C12" s="14"/>
      <c r="D12" s="15"/>
      <c r="E12" s="15"/>
      <c r="G12" s="15"/>
      <c r="H12" s="15"/>
      <c r="I12" s="15"/>
      <c r="J12" s="18"/>
      <c r="K12" s="16"/>
    </row>
    <row r="13" spans="1:11" ht="15" customHeight="1" x14ac:dyDescent="0.35">
      <c r="A13" s="25"/>
      <c r="B13" s="109" t="s">
        <v>76</v>
      </c>
      <c r="C13" s="91" t="s">
        <v>24</v>
      </c>
      <c r="D13" s="91" t="s">
        <v>19</v>
      </c>
      <c r="E13" s="91" t="s">
        <v>20</v>
      </c>
      <c r="F13" s="91" t="s">
        <v>2</v>
      </c>
      <c r="G13" s="76" t="s">
        <v>22</v>
      </c>
      <c r="H13" s="76"/>
      <c r="I13" s="76"/>
      <c r="J13" s="91" t="s">
        <v>70</v>
      </c>
      <c r="K13" s="16"/>
    </row>
    <row r="14" spans="1:11" x14ac:dyDescent="0.35">
      <c r="A14" s="17" t="s">
        <v>9</v>
      </c>
      <c r="B14" s="110"/>
      <c r="C14" s="91"/>
      <c r="D14" s="91"/>
      <c r="E14" s="91"/>
      <c r="F14" s="91"/>
      <c r="G14" s="22" t="s">
        <v>25</v>
      </c>
      <c r="H14" s="5" t="s">
        <v>26</v>
      </c>
      <c r="I14" s="14" t="s">
        <v>23</v>
      </c>
      <c r="J14" s="91"/>
      <c r="K14" s="16" t="s">
        <v>3</v>
      </c>
    </row>
    <row r="15" spans="1:11" x14ac:dyDescent="0.35">
      <c r="A15" s="17">
        <v>2.1</v>
      </c>
      <c r="B15" s="22">
        <v>8</v>
      </c>
      <c r="C15" s="10" t="s">
        <v>66</v>
      </c>
      <c r="D15" s="10">
        <v>1992</v>
      </c>
      <c r="E15" s="10">
        <v>31</v>
      </c>
      <c r="F15" s="10">
        <v>52</v>
      </c>
      <c r="G15" s="10">
        <v>13</v>
      </c>
      <c r="H15" s="10">
        <v>35</v>
      </c>
      <c r="I15" s="10">
        <v>48</v>
      </c>
      <c r="J15" s="10">
        <v>1785</v>
      </c>
      <c r="K15" s="11">
        <v>25</v>
      </c>
    </row>
    <row r="16" spans="1:11" x14ac:dyDescent="0.35">
      <c r="A16" s="17">
        <v>2.1</v>
      </c>
      <c r="B16" s="22">
        <v>6</v>
      </c>
      <c r="C16" s="10" t="s">
        <v>66</v>
      </c>
      <c r="D16" s="10">
        <v>1992</v>
      </c>
      <c r="E16" s="10">
        <v>30</v>
      </c>
      <c r="F16" s="10">
        <v>53</v>
      </c>
      <c r="G16" s="10">
        <v>20</v>
      </c>
      <c r="H16" s="10">
        <v>27</v>
      </c>
      <c r="I16" s="10">
        <v>47</v>
      </c>
      <c r="J16" s="10">
        <v>1060</v>
      </c>
      <c r="K16" s="11">
        <v>25</v>
      </c>
    </row>
    <row r="17" spans="1:11" x14ac:dyDescent="0.35">
      <c r="A17" s="17">
        <v>2.2000000000000002</v>
      </c>
      <c r="B17" s="22" t="s">
        <v>10</v>
      </c>
      <c r="C17" s="10" t="s">
        <v>74</v>
      </c>
      <c r="D17" s="10">
        <v>1993</v>
      </c>
      <c r="E17" s="10">
        <v>115</v>
      </c>
      <c r="F17" s="10">
        <v>48</v>
      </c>
      <c r="G17" s="10">
        <v>16</v>
      </c>
      <c r="H17" s="10">
        <v>36</v>
      </c>
      <c r="I17" s="10">
        <v>52</v>
      </c>
      <c r="J17" s="10">
        <v>820</v>
      </c>
      <c r="K17" s="11">
        <v>2</v>
      </c>
    </row>
    <row r="18" spans="1:11" x14ac:dyDescent="0.35">
      <c r="A18" s="17">
        <v>2.2999999999999998</v>
      </c>
      <c r="B18" s="22" t="s">
        <v>10</v>
      </c>
      <c r="C18" s="10" t="s">
        <v>31</v>
      </c>
      <c r="D18" s="10">
        <v>1993</v>
      </c>
      <c r="E18" s="10">
        <v>67</v>
      </c>
      <c r="F18" s="10">
        <v>57</v>
      </c>
      <c r="G18" s="10">
        <v>16</v>
      </c>
      <c r="H18" s="10">
        <v>27</v>
      </c>
      <c r="I18" s="10">
        <v>43</v>
      </c>
      <c r="J18" s="10">
        <v>1954</v>
      </c>
      <c r="K18" s="11">
        <v>2</v>
      </c>
    </row>
    <row r="19" spans="1:11" x14ac:dyDescent="0.35">
      <c r="A19" s="17">
        <v>2.2999999999999998</v>
      </c>
      <c r="B19" s="22">
        <v>6</v>
      </c>
      <c r="C19" s="10" t="s">
        <v>66</v>
      </c>
      <c r="D19" s="10">
        <v>1992</v>
      </c>
      <c r="E19" s="10">
        <v>55</v>
      </c>
      <c r="F19" s="10">
        <v>40</v>
      </c>
      <c r="G19" s="10">
        <v>11</v>
      </c>
      <c r="H19" s="10">
        <v>49</v>
      </c>
      <c r="I19" s="10">
        <v>60</v>
      </c>
      <c r="J19" s="10">
        <v>2760</v>
      </c>
      <c r="K19" s="11">
        <v>25</v>
      </c>
    </row>
    <row r="20" spans="1:11" x14ac:dyDescent="0.35">
      <c r="A20" s="17">
        <v>2.4</v>
      </c>
      <c r="B20" s="22" t="s">
        <v>10</v>
      </c>
      <c r="C20" s="10" t="s">
        <v>31</v>
      </c>
      <c r="D20" s="10">
        <v>1993</v>
      </c>
      <c r="E20" s="10" t="s">
        <v>0</v>
      </c>
      <c r="F20" s="10">
        <v>58</v>
      </c>
      <c r="G20" s="10">
        <v>13</v>
      </c>
      <c r="H20" s="10">
        <v>29</v>
      </c>
      <c r="I20" s="10">
        <v>42</v>
      </c>
      <c r="J20" s="10">
        <v>2655</v>
      </c>
      <c r="K20" s="11">
        <v>2</v>
      </c>
    </row>
    <row r="21" spans="1:11" x14ac:dyDescent="0.35">
      <c r="A21" s="17">
        <v>2.6</v>
      </c>
      <c r="B21" s="22" t="s">
        <v>10</v>
      </c>
      <c r="C21" s="10" t="s">
        <v>31</v>
      </c>
      <c r="D21" s="10">
        <v>1993</v>
      </c>
      <c r="E21" s="10">
        <v>68</v>
      </c>
      <c r="F21" s="10">
        <v>67</v>
      </c>
      <c r="G21" s="10">
        <v>15</v>
      </c>
      <c r="H21" s="10">
        <v>18</v>
      </c>
      <c r="I21" s="10">
        <v>33</v>
      </c>
      <c r="J21" s="10">
        <v>950</v>
      </c>
      <c r="K21" s="11">
        <v>2</v>
      </c>
    </row>
    <row r="22" spans="1:11" x14ac:dyDescent="0.35">
      <c r="A22" s="17">
        <v>2.8</v>
      </c>
      <c r="B22" s="22" t="s">
        <v>10</v>
      </c>
      <c r="C22" s="10" t="s">
        <v>31</v>
      </c>
      <c r="D22" s="10">
        <v>1993</v>
      </c>
      <c r="E22" s="10" t="s">
        <v>0</v>
      </c>
      <c r="F22" s="10">
        <v>62</v>
      </c>
      <c r="G22" s="10">
        <v>11</v>
      </c>
      <c r="H22" s="10">
        <v>27</v>
      </c>
      <c r="I22" s="10">
        <v>38</v>
      </c>
      <c r="J22" s="10">
        <v>2875</v>
      </c>
      <c r="K22" s="11">
        <v>2</v>
      </c>
    </row>
    <row r="23" spans="1:11" x14ac:dyDescent="0.35">
      <c r="A23" s="17">
        <v>3</v>
      </c>
      <c r="B23" s="22" t="s">
        <v>10</v>
      </c>
      <c r="C23" s="10" t="s">
        <v>74</v>
      </c>
      <c r="D23" s="10">
        <v>1993</v>
      </c>
      <c r="E23" s="10">
        <v>80</v>
      </c>
      <c r="F23" s="10">
        <v>65</v>
      </c>
      <c r="G23" s="10">
        <v>15</v>
      </c>
      <c r="H23" s="10">
        <v>20</v>
      </c>
      <c r="I23" s="10">
        <v>35</v>
      </c>
      <c r="J23" s="10">
        <v>1165</v>
      </c>
      <c r="K23" s="11">
        <v>2</v>
      </c>
    </row>
    <row r="24" spans="1:11" x14ac:dyDescent="0.35">
      <c r="A24" s="17">
        <v>3.6</v>
      </c>
      <c r="B24" s="22" t="s">
        <v>10</v>
      </c>
      <c r="C24" s="10" t="s">
        <v>31</v>
      </c>
      <c r="D24" s="10">
        <v>1993</v>
      </c>
      <c r="E24" s="10">
        <v>60</v>
      </c>
      <c r="F24" s="10">
        <v>56</v>
      </c>
      <c r="G24" s="10">
        <v>17</v>
      </c>
      <c r="H24" s="10">
        <v>27</v>
      </c>
      <c r="I24" s="10">
        <v>44</v>
      </c>
      <c r="J24" s="10">
        <v>2505</v>
      </c>
      <c r="K24" s="11">
        <v>2</v>
      </c>
    </row>
    <row r="25" spans="1:11" x14ac:dyDescent="0.35">
      <c r="A25" s="17">
        <v>3.7</v>
      </c>
      <c r="B25" s="22" t="s">
        <v>10</v>
      </c>
      <c r="C25" s="10" t="s">
        <v>31</v>
      </c>
      <c r="D25" s="10">
        <v>1993</v>
      </c>
      <c r="E25" s="10">
        <v>70</v>
      </c>
      <c r="F25" s="10">
        <v>61</v>
      </c>
      <c r="G25" s="10">
        <v>16</v>
      </c>
      <c r="H25" s="10">
        <v>23</v>
      </c>
      <c r="I25" s="10">
        <v>39</v>
      </c>
      <c r="J25" s="10">
        <v>2175</v>
      </c>
      <c r="K25" s="11">
        <v>2</v>
      </c>
    </row>
    <row r="26" spans="1:11" x14ac:dyDescent="0.35">
      <c r="A26" s="17">
        <v>4.2</v>
      </c>
      <c r="B26" s="22" t="s">
        <v>10</v>
      </c>
      <c r="C26" s="10" t="s">
        <v>31</v>
      </c>
      <c r="D26" s="10">
        <v>1993</v>
      </c>
      <c r="E26" s="10">
        <v>61</v>
      </c>
      <c r="F26" s="10">
        <v>58</v>
      </c>
      <c r="G26" s="10">
        <v>26</v>
      </c>
      <c r="H26" s="10">
        <v>16</v>
      </c>
      <c r="I26" s="10">
        <v>42</v>
      </c>
      <c r="J26" s="10">
        <v>2300</v>
      </c>
      <c r="K26" s="11">
        <v>2</v>
      </c>
    </row>
    <row r="27" spans="1:11" x14ac:dyDescent="0.35">
      <c r="A27" s="17">
        <v>4.694</v>
      </c>
      <c r="B27" s="22">
        <v>12</v>
      </c>
      <c r="C27" s="10" t="s">
        <v>66</v>
      </c>
      <c r="D27" s="10">
        <v>2000</v>
      </c>
      <c r="E27" s="10" t="s">
        <v>0</v>
      </c>
      <c r="F27" s="10">
        <v>78</v>
      </c>
      <c r="G27" s="10" t="s">
        <v>0</v>
      </c>
      <c r="H27" s="10" t="s">
        <v>0</v>
      </c>
      <c r="I27" s="10">
        <v>22</v>
      </c>
      <c r="J27" s="10">
        <v>3549</v>
      </c>
      <c r="K27" s="11">
        <v>30</v>
      </c>
    </row>
    <row r="28" spans="1:11" x14ac:dyDescent="0.35">
      <c r="A28" s="17">
        <v>4.694</v>
      </c>
      <c r="B28" s="22">
        <v>12</v>
      </c>
      <c r="C28" s="10" t="s">
        <v>66</v>
      </c>
      <c r="D28" s="10">
        <v>2000</v>
      </c>
      <c r="E28" s="10" t="s">
        <v>0</v>
      </c>
      <c r="F28" s="10">
        <v>67</v>
      </c>
      <c r="G28" s="10" t="s">
        <v>0</v>
      </c>
      <c r="H28" s="10" t="s">
        <v>0</v>
      </c>
      <c r="I28" s="10">
        <v>33</v>
      </c>
      <c r="J28" s="10">
        <v>2272</v>
      </c>
      <c r="K28" s="11">
        <v>30</v>
      </c>
    </row>
    <row r="29" spans="1:11" x14ac:dyDescent="0.35">
      <c r="A29" s="17">
        <v>4.694</v>
      </c>
      <c r="B29" s="22">
        <v>12</v>
      </c>
      <c r="C29" s="10" t="s">
        <v>66</v>
      </c>
      <c r="D29" s="10">
        <v>2000</v>
      </c>
      <c r="E29" s="10" t="s">
        <v>0</v>
      </c>
      <c r="F29" s="10">
        <v>66</v>
      </c>
      <c r="G29" s="10" t="s">
        <v>0</v>
      </c>
      <c r="H29" s="10" t="s">
        <v>0</v>
      </c>
      <c r="I29" s="10">
        <v>34</v>
      </c>
      <c r="J29" s="10">
        <v>3514</v>
      </c>
      <c r="K29" s="11">
        <v>30</v>
      </c>
    </row>
    <row r="30" spans="1:11" x14ac:dyDescent="0.35">
      <c r="A30" s="17">
        <v>4.8479999999999999</v>
      </c>
      <c r="B30" s="22">
        <v>12</v>
      </c>
      <c r="C30" s="10" t="s">
        <v>37</v>
      </c>
      <c r="D30" s="10">
        <v>2000</v>
      </c>
      <c r="E30" s="10" t="s">
        <v>0</v>
      </c>
      <c r="F30" s="10">
        <v>71</v>
      </c>
      <c r="G30" s="10" t="s">
        <v>0</v>
      </c>
      <c r="H30" s="10" t="s">
        <v>0</v>
      </c>
      <c r="I30" s="10">
        <v>29</v>
      </c>
      <c r="J30" s="10">
        <v>2350</v>
      </c>
      <c r="K30" s="11">
        <v>30</v>
      </c>
    </row>
    <row r="31" spans="1:11" x14ac:dyDescent="0.35">
      <c r="A31" s="17">
        <v>5.0599999999999996</v>
      </c>
      <c r="B31" s="22">
        <v>12</v>
      </c>
      <c r="C31" s="10" t="s">
        <v>35</v>
      </c>
      <c r="D31" s="10">
        <v>2000</v>
      </c>
      <c r="E31" s="10" t="s">
        <v>0</v>
      </c>
      <c r="F31" s="10">
        <v>91</v>
      </c>
      <c r="G31" s="10" t="s">
        <v>0</v>
      </c>
      <c r="H31" s="10" t="s">
        <v>0</v>
      </c>
      <c r="I31" s="10">
        <v>9</v>
      </c>
      <c r="J31" s="10">
        <v>4181</v>
      </c>
      <c r="K31" s="11">
        <v>30</v>
      </c>
    </row>
    <row r="32" spans="1:11" x14ac:dyDescent="0.35">
      <c r="A32" s="17">
        <v>5.242</v>
      </c>
      <c r="B32" s="22">
        <v>12</v>
      </c>
      <c r="C32" s="10" t="s">
        <v>37</v>
      </c>
      <c r="D32" s="10">
        <v>2000</v>
      </c>
      <c r="E32" s="10" t="s">
        <v>0</v>
      </c>
      <c r="F32" s="10">
        <v>70</v>
      </c>
      <c r="G32" s="10" t="s">
        <v>0</v>
      </c>
      <c r="H32" s="10" t="s">
        <v>0</v>
      </c>
      <c r="I32" s="10">
        <v>30</v>
      </c>
      <c r="J32" s="10">
        <v>2445</v>
      </c>
      <c r="K32" s="11">
        <v>30</v>
      </c>
    </row>
    <row r="33" spans="1:11" x14ac:dyDescent="0.35">
      <c r="A33" s="17">
        <v>5.242</v>
      </c>
      <c r="B33" s="22">
        <v>12</v>
      </c>
      <c r="C33" s="10" t="s">
        <v>37</v>
      </c>
      <c r="D33" s="10">
        <v>2000</v>
      </c>
      <c r="E33" s="10" t="s">
        <v>0</v>
      </c>
      <c r="F33" s="10">
        <v>56</v>
      </c>
      <c r="G33" s="10" t="s">
        <v>0</v>
      </c>
      <c r="H33" s="10" t="s">
        <v>0</v>
      </c>
      <c r="I33" s="10">
        <v>44</v>
      </c>
      <c r="J33" s="10">
        <v>950</v>
      </c>
      <c r="K33" s="11">
        <v>30</v>
      </c>
    </row>
    <row r="34" spans="1:11" x14ac:dyDescent="0.35">
      <c r="A34" s="17">
        <v>5.4880000000000004</v>
      </c>
      <c r="B34" s="22">
        <v>12</v>
      </c>
      <c r="C34" s="10" t="s">
        <v>77</v>
      </c>
      <c r="D34" s="10">
        <v>2000</v>
      </c>
      <c r="E34" s="10" t="s">
        <v>0</v>
      </c>
      <c r="F34" s="10">
        <v>73</v>
      </c>
      <c r="G34" s="10" t="s">
        <v>0</v>
      </c>
      <c r="H34" s="10" t="s">
        <v>0</v>
      </c>
      <c r="I34" s="10">
        <v>27</v>
      </c>
      <c r="J34" s="10" t="s">
        <v>0</v>
      </c>
      <c r="K34" s="11">
        <v>30</v>
      </c>
    </row>
    <row r="35" spans="1:11" x14ac:dyDescent="0.35">
      <c r="A35" s="17">
        <v>5.5</v>
      </c>
      <c r="B35" s="22">
        <v>12</v>
      </c>
      <c r="C35" s="10" t="s">
        <v>35</v>
      </c>
      <c r="D35" s="10">
        <v>2000</v>
      </c>
      <c r="E35" s="10" t="s">
        <v>0</v>
      </c>
      <c r="F35" s="10">
        <v>84</v>
      </c>
      <c r="G35" s="10" t="s">
        <v>0</v>
      </c>
      <c r="H35" s="10" t="s">
        <v>0</v>
      </c>
      <c r="I35" s="10">
        <v>16</v>
      </c>
      <c r="J35" s="10">
        <v>4025</v>
      </c>
      <c r="K35" s="11">
        <v>30</v>
      </c>
    </row>
    <row r="36" spans="1:11" x14ac:dyDescent="0.35">
      <c r="A36" s="17">
        <v>4.694</v>
      </c>
      <c r="B36" s="22">
        <v>16</v>
      </c>
      <c r="C36" s="10" t="s">
        <v>66</v>
      </c>
      <c r="D36" s="10">
        <v>2000</v>
      </c>
      <c r="E36" s="10" t="s">
        <v>0</v>
      </c>
      <c r="F36" s="10">
        <v>89</v>
      </c>
      <c r="G36" s="10" t="s">
        <v>0</v>
      </c>
      <c r="H36" s="10" t="s">
        <v>0</v>
      </c>
      <c r="I36" s="10">
        <v>11</v>
      </c>
      <c r="J36" s="10">
        <v>2755</v>
      </c>
      <c r="K36" s="11">
        <v>30</v>
      </c>
    </row>
    <row r="37" spans="1:11" x14ac:dyDescent="0.35">
      <c r="A37" s="17">
        <v>4.694</v>
      </c>
      <c r="B37" s="22">
        <v>16</v>
      </c>
      <c r="C37" s="10" t="s">
        <v>77</v>
      </c>
      <c r="D37" s="10">
        <v>2000</v>
      </c>
      <c r="E37" s="10" t="s">
        <v>0</v>
      </c>
      <c r="F37" s="10">
        <v>73</v>
      </c>
      <c r="G37" s="10" t="s">
        <v>0</v>
      </c>
      <c r="H37" s="10" t="s">
        <v>0</v>
      </c>
      <c r="I37" s="10">
        <v>27</v>
      </c>
      <c r="J37" s="10">
        <v>1858</v>
      </c>
      <c r="K37" s="11">
        <v>30</v>
      </c>
    </row>
    <row r="38" spans="1:11" x14ac:dyDescent="0.35">
      <c r="A38" s="17">
        <v>4.694</v>
      </c>
      <c r="B38" s="22">
        <v>16</v>
      </c>
      <c r="C38" s="10" t="s">
        <v>77</v>
      </c>
      <c r="D38" s="10">
        <v>2000</v>
      </c>
      <c r="E38" s="10" t="s">
        <v>0</v>
      </c>
      <c r="F38" s="10">
        <v>59</v>
      </c>
      <c r="G38" s="10" t="s">
        <v>0</v>
      </c>
      <c r="H38" s="10" t="s">
        <v>0</v>
      </c>
      <c r="I38" s="10">
        <v>41</v>
      </c>
      <c r="J38" s="10">
        <v>1344</v>
      </c>
      <c r="K38" s="11">
        <v>30</v>
      </c>
    </row>
    <row r="39" spans="1:11" x14ac:dyDescent="0.35">
      <c r="A39" s="17">
        <v>4.694</v>
      </c>
      <c r="B39" s="22">
        <v>16</v>
      </c>
      <c r="C39" s="10" t="s">
        <v>77</v>
      </c>
      <c r="D39" s="10">
        <v>2000</v>
      </c>
      <c r="E39" s="10" t="s">
        <v>0</v>
      </c>
      <c r="F39" s="10">
        <v>72</v>
      </c>
      <c r="G39" s="10" t="s">
        <v>0</v>
      </c>
      <c r="H39" s="10" t="s">
        <v>0</v>
      </c>
      <c r="I39" s="10">
        <v>28</v>
      </c>
      <c r="J39" s="10">
        <v>3434</v>
      </c>
      <c r="K39" s="11">
        <v>30</v>
      </c>
    </row>
    <row r="40" spans="1:11" x14ac:dyDescent="0.35">
      <c r="A40" s="17">
        <v>4.694</v>
      </c>
      <c r="B40" s="22">
        <v>16</v>
      </c>
      <c r="C40" s="10" t="s">
        <v>63</v>
      </c>
      <c r="D40" s="10">
        <v>2000</v>
      </c>
      <c r="E40" s="10" t="s">
        <v>0</v>
      </c>
      <c r="F40" s="10">
        <v>81</v>
      </c>
      <c r="G40" s="10" t="s">
        <v>0</v>
      </c>
      <c r="H40" s="10" t="s">
        <v>0</v>
      </c>
      <c r="I40" s="10">
        <v>19</v>
      </c>
      <c r="J40" s="10">
        <v>1734</v>
      </c>
      <c r="K40" s="11">
        <v>30</v>
      </c>
    </row>
    <row r="41" spans="1:11" x14ac:dyDescent="0.35">
      <c r="A41" s="17">
        <v>4.694</v>
      </c>
      <c r="B41" s="22">
        <v>20</v>
      </c>
      <c r="C41" s="10" t="s">
        <v>77</v>
      </c>
      <c r="D41" s="10">
        <v>2000</v>
      </c>
      <c r="E41" s="10" t="s">
        <v>0</v>
      </c>
      <c r="F41" s="10">
        <v>76</v>
      </c>
      <c r="G41" s="10" t="s">
        <v>0</v>
      </c>
      <c r="H41" s="10" t="s">
        <v>0</v>
      </c>
      <c r="I41" s="10">
        <v>24</v>
      </c>
      <c r="J41" s="10">
        <v>1616</v>
      </c>
      <c r="K41" s="11">
        <v>30</v>
      </c>
    </row>
    <row r="42" spans="1:11" x14ac:dyDescent="0.35">
      <c r="A42" s="17">
        <v>4.8479999999999999</v>
      </c>
      <c r="B42" s="22">
        <v>16</v>
      </c>
      <c r="C42" s="10" t="s">
        <v>37</v>
      </c>
      <c r="D42" s="10">
        <v>2000</v>
      </c>
      <c r="E42" s="10" t="s">
        <v>0</v>
      </c>
      <c r="F42" s="10">
        <v>67</v>
      </c>
      <c r="G42" s="10" t="s">
        <v>0</v>
      </c>
      <c r="H42" s="10" t="s">
        <v>0</v>
      </c>
      <c r="I42" s="10">
        <v>33</v>
      </c>
      <c r="J42" s="10">
        <v>2.9540000000000002</v>
      </c>
      <c r="K42" s="11">
        <v>30</v>
      </c>
    </row>
    <row r="43" spans="1:11" x14ac:dyDescent="0.35">
      <c r="A43" s="17">
        <v>4.8479999999999999</v>
      </c>
      <c r="B43" s="22">
        <v>16</v>
      </c>
      <c r="C43" s="10" t="s">
        <v>37</v>
      </c>
      <c r="D43" s="10">
        <v>2000</v>
      </c>
      <c r="E43" s="10" t="s">
        <v>0</v>
      </c>
      <c r="F43" s="10">
        <v>78</v>
      </c>
      <c r="G43" s="10" t="s">
        <v>0</v>
      </c>
      <c r="H43" s="10" t="s">
        <v>0</v>
      </c>
      <c r="I43" s="10">
        <v>22</v>
      </c>
      <c r="J43" s="10">
        <v>3086</v>
      </c>
      <c r="K43" s="11">
        <v>30</v>
      </c>
    </row>
    <row r="44" spans="1:11" x14ac:dyDescent="0.35">
      <c r="A44" s="17">
        <v>4.8479999999999999</v>
      </c>
      <c r="B44" s="22">
        <v>16</v>
      </c>
      <c r="C44" s="10" t="s">
        <v>37</v>
      </c>
      <c r="D44" s="10">
        <v>2000</v>
      </c>
      <c r="E44" s="10" t="s">
        <v>0</v>
      </c>
      <c r="F44" s="10">
        <v>83</v>
      </c>
      <c r="G44" s="10" t="s">
        <v>0</v>
      </c>
      <c r="H44" s="10" t="s">
        <v>0</v>
      </c>
      <c r="I44" s="10">
        <v>17</v>
      </c>
      <c r="J44" s="10">
        <v>4143</v>
      </c>
      <c r="K44" s="11">
        <v>30</v>
      </c>
    </row>
    <row r="45" spans="1:11" x14ac:dyDescent="0.35">
      <c r="A45" s="17">
        <v>4.8479999999999999</v>
      </c>
      <c r="B45" s="22">
        <v>16</v>
      </c>
      <c r="C45" s="10" t="s">
        <v>37</v>
      </c>
      <c r="D45" s="10">
        <v>2000</v>
      </c>
      <c r="E45" s="10" t="s">
        <v>0</v>
      </c>
      <c r="F45" s="10">
        <v>73</v>
      </c>
      <c r="G45" s="10" t="s">
        <v>0</v>
      </c>
      <c r="H45" s="10" t="s">
        <v>0</v>
      </c>
      <c r="I45" s="10">
        <v>27</v>
      </c>
      <c r="J45" s="10">
        <v>2534</v>
      </c>
      <c r="K45" s="11">
        <v>30</v>
      </c>
    </row>
    <row r="46" spans="1:11" x14ac:dyDescent="0.35">
      <c r="A46" s="17">
        <v>4.9930000000000003</v>
      </c>
      <c r="B46" s="22">
        <v>16</v>
      </c>
      <c r="C46" s="10" t="s">
        <v>35</v>
      </c>
      <c r="D46" s="10">
        <v>2000</v>
      </c>
      <c r="E46" s="10" t="s">
        <v>0</v>
      </c>
      <c r="F46" s="10">
        <v>72</v>
      </c>
      <c r="G46" s="10" t="s">
        <v>0</v>
      </c>
      <c r="H46" s="10" t="s">
        <v>0</v>
      </c>
      <c r="I46" s="10">
        <v>28</v>
      </c>
      <c r="J46" s="10">
        <v>2917</v>
      </c>
      <c r="K46" s="11">
        <v>30</v>
      </c>
    </row>
    <row r="47" spans="1:11" x14ac:dyDescent="0.35">
      <c r="A47" s="17">
        <v>5.0940000000000003</v>
      </c>
      <c r="B47" s="22">
        <v>16</v>
      </c>
      <c r="C47" s="10" t="s">
        <v>63</v>
      </c>
      <c r="D47" s="10">
        <v>2000</v>
      </c>
      <c r="E47" s="10" t="s">
        <v>0</v>
      </c>
      <c r="F47" s="10">
        <v>86</v>
      </c>
      <c r="G47" s="10" t="s">
        <v>0</v>
      </c>
      <c r="H47" s="10" t="s">
        <v>0</v>
      </c>
      <c r="I47" s="10">
        <v>14</v>
      </c>
      <c r="J47" s="10">
        <v>1730</v>
      </c>
      <c r="K47" s="11">
        <v>30</v>
      </c>
    </row>
    <row r="48" spans="1:11" x14ac:dyDescent="0.35">
      <c r="A48" s="17">
        <v>5.5</v>
      </c>
      <c r="B48" s="22">
        <v>16</v>
      </c>
      <c r="C48" s="10" t="s">
        <v>35</v>
      </c>
      <c r="D48" s="10">
        <v>2000</v>
      </c>
      <c r="E48" s="10" t="s">
        <v>0</v>
      </c>
      <c r="F48" s="10">
        <v>90</v>
      </c>
      <c r="G48" s="10" t="s">
        <v>0</v>
      </c>
      <c r="H48" s="10" t="s">
        <v>0</v>
      </c>
      <c r="I48" s="10">
        <v>10</v>
      </c>
      <c r="J48" s="10">
        <v>2616</v>
      </c>
      <c r="K48" s="11">
        <v>30</v>
      </c>
    </row>
    <row r="49" spans="1:11" x14ac:dyDescent="0.35">
      <c r="A49" s="17">
        <v>5.5430000000000001</v>
      </c>
      <c r="B49" s="22">
        <v>16</v>
      </c>
      <c r="C49" s="10" t="s">
        <v>35</v>
      </c>
      <c r="D49" s="10">
        <v>2000</v>
      </c>
      <c r="E49" s="10" t="s">
        <v>0</v>
      </c>
      <c r="F49" s="10">
        <v>87</v>
      </c>
      <c r="G49" s="10" t="s">
        <v>0</v>
      </c>
      <c r="H49" s="10" t="s">
        <v>0</v>
      </c>
      <c r="I49" s="10">
        <v>13</v>
      </c>
      <c r="J49" s="10">
        <v>2363</v>
      </c>
      <c r="K49" s="11">
        <v>30</v>
      </c>
    </row>
    <row r="50" spans="1:11" x14ac:dyDescent="0.35">
      <c r="A50" s="17">
        <v>5.5650000000000004</v>
      </c>
      <c r="B50" s="22">
        <v>16</v>
      </c>
      <c r="C50" s="10" t="s">
        <v>35</v>
      </c>
      <c r="D50" s="10">
        <v>2000</v>
      </c>
      <c r="E50" s="10" t="s">
        <v>0</v>
      </c>
      <c r="F50" s="10">
        <v>81</v>
      </c>
      <c r="G50" s="10" t="s">
        <v>0</v>
      </c>
      <c r="H50" s="10" t="s">
        <v>0</v>
      </c>
      <c r="I50" s="10">
        <v>19</v>
      </c>
      <c r="J50" s="10">
        <v>2770</v>
      </c>
      <c r="K50" s="11">
        <v>30</v>
      </c>
    </row>
    <row r="51" spans="1:11" x14ac:dyDescent="0.35">
      <c r="A51" s="17">
        <v>5.5650000000000004</v>
      </c>
      <c r="B51" s="22">
        <v>16</v>
      </c>
      <c r="C51" s="10" t="s">
        <v>35</v>
      </c>
      <c r="D51" s="10">
        <v>2000</v>
      </c>
      <c r="E51" s="10" t="s">
        <v>0</v>
      </c>
      <c r="F51" s="10">
        <v>76</v>
      </c>
      <c r="G51" s="10" t="s">
        <v>0</v>
      </c>
      <c r="H51" s="10" t="s">
        <v>0</v>
      </c>
      <c r="I51" s="10">
        <v>24</v>
      </c>
      <c r="J51" s="10">
        <v>3362</v>
      </c>
      <c r="K51" s="11">
        <v>30</v>
      </c>
    </row>
    <row r="52" spans="1:11" x14ac:dyDescent="0.35">
      <c r="A52" s="17">
        <v>5.5650000000000004</v>
      </c>
      <c r="B52" s="22">
        <v>16</v>
      </c>
      <c r="C52" s="10" t="s">
        <v>63</v>
      </c>
      <c r="D52" s="10">
        <v>2000</v>
      </c>
      <c r="E52" s="10" t="s">
        <v>0</v>
      </c>
      <c r="F52" s="10">
        <v>61</v>
      </c>
      <c r="G52" s="10" t="s">
        <v>0</v>
      </c>
      <c r="H52" s="10" t="s">
        <v>0</v>
      </c>
      <c r="I52" s="10">
        <v>39</v>
      </c>
      <c r="J52" s="10">
        <v>1713</v>
      </c>
      <c r="K52" s="11">
        <v>30</v>
      </c>
    </row>
    <row r="53" spans="1:11" x14ac:dyDescent="0.35">
      <c r="A53" s="17">
        <v>5.5650000000000004</v>
      </c>
      <c r="B53" s="22">
        <v>16</v>
      </c>
      <c r="C53" s="10" t="s">
        <v>63</v>
      </c>
      <c r="D53" s="10">
        <v>2000</v>
      </c>
      <c r="E53" s="10" t="s">
        <v>0</v>
      </c>
      <c r="F53" s="10">
        <v>86</v>
      </c>
      <c r="G53" s="10" t="s">
        <v>0</v>
      </c>
      <c r="H53" s="10" t="s">
        <v>0</v>
      </c>
      <c r="I53" s="10">
        <v>14</v>
      </c>
      <c r="J53" s="10">
        <v>1721</v>
      </c>
      <c r="K53" s="11">
        <v>30</v>
      </c>
    </row>
    <row r="54" spans="1:11" x14ac:dyDescent="0.35">
      <c r="A54" s="17">
        <v>5.5650000000000004</v>
      </c>
      <c r="B54" s="22">
        <v>16</v>
      </c>
      <c r="C54" s="10" t="s">
        <v>63</v>
      </c>
      <c r="D54" s="10">
        <v>2000</v>
      </c>
      <c r="E54" s="10" t="s">
        <v>6</v>
      </c>
      <c r="F54" s="10">
        <v>81</v>
      </c>
      <c r="G54" s="10" t="s">
        <v>6</v>
      </c>
      <c r="H54" s="10" t="s">
        <v>6</v>
      </c>
      <c r="I54" s="10">
        <v>19</v>
      </c>
      <c r="J54" s="10">
        <v>2227</v>
      </c>
      <c r="K54" s="11">
        <v>30</v>
      </c>
    </row>
    <row r="55" spans="1:11" ht="15" thickBot="1" x14ac:dyDescent="0.4">
      <c r="A55" s="7"/>
      <c r="B55" s="23"/>
      <c r="C55" s="12"/>
      <c r="D55" s="8"/>
      <c r="E55" s="8"/>
      <c r="F55" s="12"/>
      <c r="G55" s="8"/>
      <c r="H55" s="8"/>
      <c r="I55" s="8"/>
      <c r="J55" s="12"/>
      <c r="K55" s="13"/>
    </row>
  </sheetData>
  <mergeCells count="19">
    <mergeCell ref="A1:K2"/>
    <mergeCell ref="A3:K3"/>
    <mergeCell ref="A4:K4"/>
    <mergeCell ref="J13:J14"/>
    <mergeCell ref="B13:B14"/>
    <mergeCell ref="B5:K5"/>
    <mergeCell ref="B6:K6"/>
    <mergeCell ref="B7:K7"/>
    <mergeCell ref="B8:K8"/>
    <mergeCell ref="B11:K11"/>
    <mergeCell ref="B9:F9"/>
    <mergeCell ref="C13:C14"/>
    <mergeCell ref="D13:D14"/>
    <mergeCell ref="E13:E14"/>
    <mergeCell ref="F13:F14"/>
    <mergeCell ref="G13:I13"/>
    <mergeCell ref="G9:K9"/>
    <mergeCell ref="B10:F10"/>
    <mergeCell ref="G10:K10"/>
  </mergeCells>
  <pageMargins left="0.7" right="0.7" top="0.75" bottom="0.75" header="0.3" footer="0.3"/>
  <pageSetup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FAD5E-BD09-4E3C-87CA-98C21E1709CD}">
  <sheetPr>
    <tabColor rgb="FFFFFF00"/>
  </sheetPr>
  <dimension ref="A2:J40"/>
  <sheetViews>
    <sheetView zoomScale="160" zoomScaleNormal="160" workbookViewId="0">
      <selection activeCell="H8" sqref="H8"/>
    </sheetView>
  </sheetViews>
  <sheetFormatPr defaultRowHeight="14.5" x14ac:dyDescent="0.35"/>
  <cols>
    <col min="1" max="1" width="9.1796875" style="1"/>
  </cols>
  <sheetData>
    <row r="2" spans="1:10" ht="15" thickBot="1" x14ac:dyDescent="0.4"/>
    <row r="3" spans="1:10" x14ac:dyDescent="0.35">
      <c r="A3" s="66" t="s">
        <v>93</v>
      </c>
      <c r="B3" s="67"/>
      <c r="C3" s="67"/>
      <c r="D3" s="67"/>
      <c r="E3" s="67"/>
      <c r="F3" s="67"/>
      <c r="G3" s="67"/>
      <c r="H3" s="67"/>
      <c r="I3" s="67"/>
      <c r="J3" s="68"/>
    </row>
    <row r="4" spans="1:10" x14ac:dyDescent="0.35">
      <c r="A4" s="69"/>
      <c r="B4" s="70"/>
      <c r="C4" s="70"/>
      <c r="D4" s="70"/>
      <c r="E4" s="70"/>
      <c r="F4" s="70"/>
      <c r="G4" s="70"/>
      <c r="H4" s="70"/>
      <c r="I4" s="70"/>
      <c r="J4" s="71"/>
    </row>
    <row r="5" spans="1:10" x14ac:dyDescent="0.35">
      <c r="A5" s="72" t="s">
        <v>135</v>
      </c>
      <c r="B5" s="73"/>
      <c r="C5" s="73"/>
      <c r="D5" s="73"/>
      <c r="E5" s="73"/>
      <c r="F5" s="73"/>
      <c r="G5" s="73"/>
      <c r="H5" s="73"/>
      <c r="I5" s="73"/>
      <c r="J5" s="74"/>
    </row>
    <row r="7" spans="1:10" x14ac:dyDescent="0.35">
      <c r="A7" s="1">
        <v>2</v>
      </c>
      <c r="B7" t="s">
        <v>94</v>
      </c>
    </row>
    <row r="8" spans="1:10" x14ac:dyDescent="0.35">
      <c r="A8" s="1">
        <v>3</v>
      </c>
      <c r="B8" t="s">
        <v>95</v>
      </c>
    </row>
    <row r="9" spans="1:10" x14ac:dyDescent="0.35">
      <c r="A9" s="1">
        <v>4</v>
      </c>
      <c r="B9" t="s">
        <v>96</v>
      </c>
    </row>
    <row r="10" spans="1:10" x14ac:dyDescent="0.35">
      <c r="A10" s="1">
        <v>5</v>
      </c>
      <c r="B10" t="s">
        <v>97</v>
      </c>
    </row>
    <row r="11" spans="1:10" x14ac:dyDescent="0.35">
      <c r="A11" s="1">
        <v>6</v>
      </c>
      <c r="B11" t="s">
        <v>98</v>
      </c>
    </row>
    <row r="12" spans="1:10" x14ac:dyDescent="0.35">
      <c r="A12" s="1">
        <v>7</v>
      </c>
      <c r="B12" t="s">
        <v>99</v>
      </c>
    </row>
    <row r="13" spans="1:10" x14ac:dyDescent="0.35">
      <c r="A13" s="1">
        <v>8</v>
      </c>
      <c r="B13" t="s">
        <v>100</v>
      </c>
    </row>
    <row r="14" spans="1:10" x14ac:dyDescent="0.35">
      <c r="A14" s="1">
        <v>9</v>
      </c>
      <c r="B14" t="s">
        <v>101</v>
      </c>
    </row>
    <row r="15" spans="1:10" x14ac:dyDescent="0.35">
      <c r="A15" s="1">
        <v>10</v>
      </c>
      <c r="B15" t="s">
        <v>102</v>
      </c>
    </row>
    <row r="16" spans="1:10" x14ac:dyDescent="0.35">
      <c r="A16" s="1">
        <v>11</v>
      </c>
      <c r="B16" t="s">
        <v>103</v>
      </c>
    </row>
    <row r="17" spans="1:2" x14ac:dyDescent="0.35">
      <c r="A17" s="1">
        <v>12</v>
      </c>
      <c r="B17" t="s">
        <v>104</v>
      </c>
    </row>
    <row r="18" spans="1:2" x14ac:dyDescent="0.35">
      <c r="A18" s="1">
        <v>13</v>
      </c>
      <c r="B18" t="s">
        <v>105</v>
      </c>
    </row>
    <row r="19" spans="1:2" x14ac:dyDescent="0.35">
      <c r="A19" s="1">
        <v>14</v>
      </c>
      <c r="B19" t="s">
        <v>106</v>
      </c>
    </row>
    <row r="20" spans="1:2" x14ac:dyDescent="0.35">
      <c r="A20" s="1">
        <v>15</v>
      </c>
      <c r="B20" t="s">
        <v>107</v>
      </c>
    </row>
    <row r="21" spans="1:2" x14ac:dyDescent="0.35">
      <c r="A21" s="1">
        <v>16</v>
      </c>
      <c r="B21" t="s">
        <v>108</v>
      </c>
    </row>
    <row r="22" spans="1:2" x14ac:dyDescent="0.35">
      <c r="A22" s="1">
        <v>17</v>
      </c>
      <c r="B22" t="s">
        <v>109</v>
      </c>
    </row>
    <row r="23" spans="1:2" x14ac:dyDescent="0.35">
      <c r="A23" s="1">
        <v>18</v>
      </c>
      <c r="B23" t="s">
        <v>142</v>
      </c>
    </row>
    <row r="24" spans="1:2" x14ac:dyDescent="0.35">
      <c r="A24" s="1">
        <v>19</v>
      </c>
      <c r="B24" t="s">
        <v>110</v>
      </c>
    </row>
    <row r="25" spans="1:2" x14ac:dyDescent="0.35">
      <c r="A25" s="1">
        <v>20</v>
      </c>
      <c r="B25" t="s">
        <v>111</v>
      </c>
    </row>
    <row r="26" spans="1:2" x14ac:dyDescent="0.35">
      <c r="A26" s="1">
        <v>21</v>
      </c>
      <c r="B26" t="s">
        <v>112</v>
      </c>
    </row>
    <row r="27" spans="1:2" x14ac:dyDescent="0.35">
      <c r="A27" s="1">
        <v>22</v>
      </c>
      <c r="B27" t="s">
        <v>113</v>
      </c>
    </row>
    <row r="28" spans="1:2" x14ac:dyDescent="0.35">
      <c r="A28" s="1">
        <v>23</v>
      </c>
      <c r="B28" t="s">
        <v>114</v>
      </c>
    </row>
    <row r="29" spans="1:2" x14ac:dyDescent="0.35">
      <c r="A29" s="1">
        <v>24</v>
      </c>
      <c r="B29" t="s">
        <v>115</v>
      </c>
    </row>
    <row r="30" spans="1:2" x14ac:dyDescent="0.35">
      <c r="A30" s="1">
        <v>25</v>
      </c>
      <c r="B30" t="s">
        <v>116</v>
      </c>
    </row>
    <row r="31" spans="1:2" x14ac:dyDescent="0.35">
      <c r="A31" s="1">
        <v>26</v>
      </c>
      <c r="B31" t="s">
        <v>117</v>
      </c>
    </row>
    <row r="32" spans="1:2" x14ac:dyDescent="0.35">
      <c r="A32" s="1">
        <v>27</v>
      </c>
      <c r="B32" t="s">
        <v>118</v>
      </c>
    </row>
    <row r="33" spans="1:2" x14ac:dyDescent="0.35">
      <c r="A33" s="1">
        <v>28</v>
      </c>
      <c r="B33" t="s">
        <v>119</v>
      </c>
    </row>
    <row r="34" spans="1:2" x14ac:dyDescent="0.35">
      <c r="A34" s="1">
        <v>29</v>
      </c>
      <c r="B34" t="s">
        <v>120</v>
      </c>
    </row>
    <row r="35" spans="1:2" x14ac:dyDescent="0.35">
      <c r="A35" s="1">
        <v>30</v>
      </c>
      <c r="B35" t="s">
        <v>125</v>
      </c>
    </row>
    <row r="36" spans="1:2" x14ac:dyDescent="0.35">
      <c r="A36" s="1">
        <v>31</v>
      </c>
      <c r="B36" t="s">
        <v>121</v>
      </c>
    </row>
    <row r="37" spans="1:2" x14ac:dyDescent="0.35">
      <c r="A37" s="1">
        <v>32</v>
      </c>
      <c r="B37" t="s">
        <v>122</v>
      </c>
    </row>
    <row r="38" spans="1:2" x14ac:dyDescent="0.35">
      <c r="A38" s="1">
        <v>33</v>
      </c>
      <c r="B38" t="s">
        <v>123</v>
      </c>
    </row>
    <row r="39" spans="1:2" x14ac:dyDescent="0.35">
      <c r="A39" s="1">
        <v>34</v>
      </c>
      <c r="B39" t="s">
        <v>124</v>
      </c>
    </row>
    <row r="40" spans="1:2" x14ac:dyDescent="0.35">
      <c r="A40" s="1">
        <v>35</v>
      </c>
      <c r="B40" t="s">
        <v>143</v>
      </c>
    </row>
  </sheetData>
  <mergeCells count="2">
    <mergeCell ref="A3:J4"/>
    <mergeCell ref="A5:J5"/>
  </mergeCells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BA318B5F61BB443A19ADF36ACA3B622" ma:contentTypeVersion="11" ma:contentTypeDescription="Create a new document." ma:contentTypeScope="" ma:versionID="320e03394e30804617fe106ac48b6408">
  <xsd:schema xmlns:xsd="http://www.w3.org/2001/XMLSchema" xmlns:xs="http://www.w3.org/2001/XMLSchema" xmlns:p="http://schemas.microsoft.com/office/2006/metadata/properties" xmlns:ns2="c6144ee3-4cb1-4fa0-abab-07427efe272b" xmlns:ns3="623bfc6f-f4b9-47ec-8ece-65ccd0ed55ce" targetNamespace="http://schemas.microsoft.com/office/2006/metadata/properties" ma:root="true" ma:fieldsID="a312ae88f173f841e13c40be21a4f5b4" ns2:_="" ns3:_="">
    <xsd:import namespace="c6144ee3-4cb1-4fa0-abab-07427efe272b"/>
    <xsd:import namespace="623bfc6f-f4b9-47ec-8ece-65ccd0ed55c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144ee3-4cb1-4fa0-abab-07427efe272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3bfc6f-f4b9-47ec-8ece-65ccd0ed55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D80B77A-D898-4DA4-AC8B-829415AC254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A9D6911-BF01-4A35-B8FE-B658883465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144ee3-4cb1-4fa0-abab-07427efe272b"/>
    <ds:schemaRef ds:uri="623bfc6f-f4b9-47ec-8ece-65ccd0ed55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90C048A-2911-4190-8AE3-574A233220A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Land Uses with Pass-By Data</vt:lpstr>
      <vt:lpstr>495-Recreational Community Ctr.</vt:lpstr>
      <vt:lpstr>565 - Day Care Center</vt:lpstr>
      <vt:lpstr>813 - Discount Superstore Wkdy </vt:lpstr>
      <vt:lpstr>813 -  Discount Superstore Sat</vt:lpstr>
      <vt:lpstr>814 - Variety Store</vt:lpstr>
      <vt:lpstr>815 - FS Discount Store Wkdy</vt:lpstr>
      <vt:lpstr>815 - FS Discount Store Sat</vt:lpstr>
      <vt:lpstr>816 - Hardware Paint Store</vt:lpstr>
      <vt:lpstr>820 - Shopping Center Wkdy</vt:lpstr>
      <vt:lpstr>821 - Shopping Plaza Wkdy</vt:lpstr>
      <vt:lpstr>821 - Shopping Plaza Sat</vt:lpstr>
      <vt:lpstr>843 - Automobile Parts Sales</vt:lpstr>
      <vt:lpstr>848 - Tire Store</vt:lpstr>
      <vt:lpstr>850 - Supermarket Wkdy</vt:lpstr>
      <vt:lpstr>850 - Supermarket Sat</vt:lpstr>
      <vt:lpstr>857 - Discount Club Wkdy</vt:lpstr>
      <vt:lpstr>857 - Discount Club Sat</vt:lpstr>
      <vt:lpstr>862 Home Improvement Superstore</vt:lpstr>
      <vt:lpstr>863 - Electronics Superstore</vt:lpstr>
      <vt:lpstr>880 Pharmacy Drugstore - No DT</vt:lpstr>
      <vt:lpstr>881 Pharmacy Drugstore w DT</vt:lpstr>
      <vt:lpstr>890 - Furniture-Flooring Store</vt:lpstr>
      <vt:lpstr>912 - Drive-In Bank Wkdy AM</vt:lpstr>
      <vt:lpstr>912 - Drive-In Bank Wkdy Mid</vt:lpstr>
      <vt:lpstr>912 - Drive-In Bank Wkdy PM</vt:lpstr>
      <vt:lpstr>912 - Drive-In Bank Sat</vt:lpstr>
      <vt:lpstr>931 - Fine Dining</vt:lpstr>
      <vt:lpstr>932 High-Turnover SD Rest</vt:lpstr>
      <vt:lpstr>934 Fast-Food w Drive Thru AM</vt:lpstr>
      <vt:lpstr>934 Fast-Food w Drive Thru PM</vt:lpstr>
      <vt:lpstr>935 Fast-Food Drive Thru Only</vt:lpstr>
      <vt:lpstr>937 Coffee DT Wkdy GFA</vt:lpstr>
      <vt:lpstr>937 Coffee DT Wkdy DTL</vt:lpstr>
      <vt:lpstr>937 Coffee DT Wkdy AM</vt:lpstr>
      <vt:lpstr>937 Coffee DT Wkdy Mid</vt:lpstr>
      <vt:lpstr>937 Coffee DT Wkdy PM</vt:lpstr>
      <vt:lpstr>938 Coffee DT Only Wkdy AM</vt:lpstr>
      <vt:lpstr>938 Coffee DT Only Wkdy Mid</vt:lpstr>
      <vt:lpstr>938 Coffee DT Only Wkdy PM</vt:lpstr>
      <vt:lpstr>944 Gas Service Station Wkdy AM</vt:lpstr>
      <vt:lpstr>944 Gas Service Station Wkdy PM</vt:lpstr>
      <vt:lpstr>944 Gas Service Station Sat Mid</vt:lpstr>
      <vt:lpstr>945 Conv Store Gas Sta Wkdy AM</vt:lpstr>
      <vt:lpstr>945 Conv Store Gas Sta Wkdy PM</vt:lpstr>
      <vt:lpstr>LIst of Sources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Qurishee, Murad Al</cp:lastModifiedBy>
  <cp:lastPrinted>2021-09-10T18:35:10Z</cp:lastPrinted>
  <dcterms:created xsi:type="dcterms:W3CDTF">2021-08-11T14:17:59Z</dcterms:created>
  <dcterms:modified xsi:type="dcterms:W3CDTF">2026-01-28T16:41:58Z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0x0101005BA318B5F61BB443A19ADF36ACA3B622</vt:lpwstr>
  </property>
</Properties>
</file>